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dba887130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f8979210084652"/>
    <x:sheet xmlns:r="http://schemas.openxmlformats.org/officeDocument/2006/relationships" name="Assets" sheetId="2" r:id="R577de7720af641c7"/>
    <x:sheet xmlns:r="http://schemas.openxmlformats.org/officeDocument/2006/relationships" name="Animations" sheetId="3" r:id="R16e5390e6b6a4d68"/>
    <x:sheet xmlns:r="http://schemas.openxmlformats.org/officeDocument/2006/relationships" name="Moves" sheetId="4" r:id="R6f31b02b90c44e34"/>
    <x:sheet xmlns:r="http://schemas.openxmlformats.org/officeDocument/2006/relationships" name="Requirements" sheetId="5" r:id="Raeb9db75411f4031"/>
    <x:sheet xmlns:r="http://schemas.openxmlformats.org/officeDocument/2006/relationships" name="Roster" sheetId="6" r:id="Rfd4bb07d0c054eb8"/>
    <x:sheet xmlns:r="http://schemas.openxmlformats.org/officeDocument/2006/relationships" name="Effort" sheetId="7" r:id="Rf7657254f7154cfc"/>
    <x:sheet xmlns:r="http://schemas.openxmlformats.org/officeDocument/2006/relationships" name="Sources" sheetId="8" r:id="R1b297c0bb8bd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"/>
    <x:numFmt numFmtId="202" formatCode="0.00"/>
    <x:numFmt numFmtId="203" formatCode="0.0"/>
    <x:numFmt numFmtId="204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5E72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C3A"/>
      </x:patternFill>
    </x:fill>
    <x:fill>
      <x:patternFill patternType="solid">
        <x:fgColor rgb="FFEDF4F6"/>
      </x:patternFill>
    </x:fill>
    <x:fill>
      <x:patternFill patternType="solid">
        <x:fgColor rgb="FF165D67"/>
      </x:patternFill>
    </x:fill>
    <x:fill>
      <x:patternFill patternType="solid">
        <x:fgColor rgb="FFE2F1F4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 patternType="solid">
          <x:bgColor rgb="FFDCF1E7"/>
        </x:patternFill>
      </x:fill>
    </x:dxf>
    <x:dxf>
      <x:fill>
        <x:patternFill patternType="solid">
          <x:bgColor rgb="FFF9E5DE"/>
        </x:patternFill>
      </x:fill>
    </x:dxf>
    <x:dxf>
      <x:fill>
        <x:patternFill patternType="solid">
          <x:bgColor rgb="FFDCF1E7"/>
        </x:patternFill>
      </x:fill>
    </x:dxf>
    <x:dxf>
      <x:fill>
        <x:patternFill patternType="solid">
          <x:bgColor rgb="FFF9E5DE"/>
        </x:patternFill>
      </x:fill>
    </x:dxf>
    <x:dxf>
      <x:fill>
        <x:patternFill patternType="solid">
          <x:bgColor rgb="FFDCF1E7"/>
        </x:patternFill>
      </x:fill>
    </x:dxf>
    <x:dxf>
      <x:fill>
        <x:patternFill patternType="solid">
          <x:bgColor rgb="FFF9E5DE"/>
        </x:patternFill>
      </x:fill>
    </x:dxf>
    <x:dxf>
      <x:fill>
        <x:patternFill patternType="solid">
          <x:bgColor rgb="FFDCF1E7"/>
        </x:patternFill>
      </x:fill>
    </x:dxf>
    <x:dxf>
      <x:fill>
        <x:patternFill patternType="solid">
          <x:bgColor rgb="FFF9E5DE"/>
        </x:patternFill>
      </x:fill>
    </x:dxf>
    <x:dxf>
      <x:fill>
        <x:patternFill patternType="solid">
          <x:bgColor rgb="FFDCF1E7"/>
        </x:patternFill>
      </x:fill>
    </x:dxf>
    <x:dxf>
      <x:fill>
        <x:patternFill patternType="solid">
          <x:bgColor rgb="FFF9E5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0c6c393fe4b99" /><Relationship Type="http://schemas.openxmlformats.org/officeDocument/2006/relationships/theme" Target="/xl/theme/theme1.xml" Id="R7a8d5ae956ef412e" /><Relationship Type="http://schemas.microsoft.com/office/2022/11/relationships/FeaturePropertyBag" Target="/xl/featurePropertyBag/featurePropertyBag.xml" Id="R4c90f07201c6415a" /><Relationship Type="http://schemas.openxmlformats.org/officeDocument/2006/relationships/sharedStrings" Target="/xl/sharedStrings.xml" Id="Rb3b8612cac874879" /><Relationship Type="http://schemas.openxmlformats.org/officeDocument/2006/relationships/worksheet" Target="/xl/worksheets/sheet1.xml" Id="Ra3f8979210084652" /><Relationship Type="http://schemas.openxmlformats.org/officeDocument/2006/relationships/worksheet" Target="/xl/worksheets/sheet2.xml" Id="R577de7720af641c7" /><Relationship Type="http://schemas.openxmlformats.org/officeDocument/2006/relationships/worksheet" Target="/xl/worksheets/sheet3.xml" Id="R16e5390e6b6a4d68" /><Relationship Type="http://schemas.openxmlformats.org/officeDocument/2006/relationships/worksheet" Target="/xl/worksheets/sheet4.xml" Id="R6f31b02b90c44e34" /><Relationship Type="http://schemas.openxmlformats.org/officeDocument/2006/relationships/worksheet" Target="/xl/worksheets/sheet5.xml" Id="Raeb9db75411f4031" /><Relationship Type="http://schemas.openxmlformats.org/officeDocument/2006/relationships/worksheet" Target="/xl/worksheets/sheet6.xml" Id="Rfd4bb07d0c054eb8" /><Relationship Type="http://schemas.openxmlformats.org/officeDocument/2006/relationships/worksheet" Target="/xl/worksheets/sheet7.xml" Id="Rf7657254f7154cfc" /><Relationship Type="http://schemas.openxmlformats.org/officeDocument/2006/relationships/worksheet" Target="/xl/worksheets/sheet8.xml" Id="R1b297c0bb8bd4d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ssetsTable" displayName="AssetsTable" ref="A5:L71" headerRowCount="1" totalsRowCount="0" totalsRowShown="0">
  <x:tableColumns count="12">
    <x:tableColumn id="1" name="Asset ID"/>
    <x:tableColumn id="2" name="Required asset"/>
    <x:tableColumn id="3" name="Scope"/>
    <x:tableColumn id="4" name="Phase"/>
    <x:tableColumn id="5" name="Units per scope"/>
    <x:tableColumn id="6" name="Owner"/>
    <x:tableColumn id="7" name="Status"/>
    <x:tableColumn id="8" name="Deliverable"/>
    <x:tableColumn id="9" name="Acceptance"/>
    <x:tableColumn id="10" name="Source / rights basis"/>
    <x:tableColumn id="11" name="Scope multiplier"/>
    <x:tableColumn id="12" name="Planned uni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imationsTable" displayName="AnimationsTable" ref="A5:K73" headerRowCount="1" totalsRowCount="0" totalsRowShown="0">
  <x:tableColumns count="11">
    <x:tableColumn id="1" name="Clip ID"/>
    <x:tableColumn id="2" name="Category"/>
    <x:tableColumn id="3" name="Scope"/>
    <x:tableColumn id="4" name="Phase"/>
    <x:tableColumn id="5" name="Nominal seconds"/>
    <x:tableColumn id="6" name="Loop"/>
    <x:tableColumn id="7" name="Root motion"/>
    <x:tableColumn id="8" name="Source FPS"/>
    <x:tableColumn id="9" name="Status"/>
    <x:tableColumn id="10" name="Owner"/>
    <x:tableColumn id="11" name="Accept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vesTable" displayName="MovesTable" ref="A5:U27" headerRowCount="1" totalsRowCount="0" totalsRowShown="0">
  <x:tableColumns count="21">
    <x:tableColumn id="1" name="Move ID"/>
    <x:tableColumn id="2" name="Name"/>
    <x:tableColumn id="3" name="Input"/>
    <x:tableColumn id="4" name="Startup"/>
    <x:tableColumn id="5" name="Active"/>
    <x:tableColumn id="6" name="Recovery"/>
    <x:tableColumn id="7" name="Total ticks"/>
    <x:tableColumn id="8" name="Damage"/>
    <x:tableColumn id="9" name="Stamina"/>
    <x:tableColumn id="10" name="Meter"/>
    <x:tableColumn id="11" name="Hit level"/>
    <x:tableColumn id="12" name="Hitstun"/>
    <x:tableColumn id="13" name="Blockstun"/>
    <x:tableColumn id="14" name="Guard stamina"/>
    <x:tableColumn id="15" name="Reach (m)"/>
    <x:tableColumn id="16" name="Cancel into"/>
    <x:tableColumn id="17" name="Cancel open"/>
    <x:tableColumn id="18" name="Cancel close"/>
    <x:tableColumn id="19" name="Phase"/>
    <x:tableColumn id="20" name="Status"/>
    <x:tableColumn id="2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quirementsTable" displayName="RequirementsTable" ref="A5:I63" headerRowCount="1" totalsRowCount="0" totalsRowShown="0">
  <x:tableColumns count="9">
    <x:tableColumn id="1" name="Requirement ID"/>
    <x:tableColumn id="2" name="Category"/>
    <x:tableColumn id="3" name="Requirement"/>
    <x:tableColumn id="4" name="Priority"/>
    <x:tableColumn id="5" name="Gate"/>
    <x:tableColumn id="6" name="Owner"/>
    <x:tableColumn id="7" name="Status"/>
    <x:tableColumn id="8" name="Acceptance condition"/>
    <x:tableColumn id="9" name="Evidence pat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sterTable" displayName="RosterTable" ref="A5:J57" headerRowCount="1" totalsRowCount="0" totalsRowShown="0">
  <x:tableColumns count="10">
    <x:tableColumn id="1" name="Catalogue code"/>
    <x:tableColumn id="2" name="Coverage label"/>
    <x:tableColumn id="3" name="Coverage group"/>
    <x:tableColumn id="4" name="Officeholder"/>
    <x:tableColumn id="5" name="Office title"/>
    <x:tableColumn id="6" name="Official source URL"/>
    <x:tableColumn id="7" name="Verified at"/>
    <x:tableColumn id="8" name="Asset status"/>
    <x:tableColumn id="9" name="Publication status"/>
    <x:tableColumn id="10" name="Editorial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ffortTable" displayName="EffortTable" ref="A5:I15" headerRowCount="1" totalsRowCount="0" totalsRowShown="0">
  <x:tableColumns count="9">
    <x:tableColumn id="1" name="Work ID"/>
    <x:tableColumn id="2" name="Work package"/>
    <x:tableColumn id="3" name="Role"/>
    <x:tableColumn id="4" name="Low person-days"/>
    <x:tableColumn id="5" name="High person-days"/>
    <x:tableColumn id="6" name="Gate"/>
    <x:tableColumn id="7" name="Status"/>
    <x:tableColumn id="8" name="Estimate basis"/>
    <x:tableColumn id="9" name="Midpoi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5:E21" headerRowCount="1" totalsRowCount="0" totalsRowShown="0">
  <x:tableColumns count="5">
    <x:tableColumn id="1" name="Source ID"/>
    <x:tableColumn id="2" name="Publisher / resource"/>
    <x:tableColumn id="3" name="What it supports"/>
    <x:tableColumn id="4" name="URL"/>
    <x:tableColumn id="5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6cb21d511d42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a3fd3272d64b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97c4c1d2314f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ed0a14ac7449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612d9fef684d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f6e8227dc14c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b6646c812d496c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SUMMIT SHOWDOWN  /  PRODUCTION CONTROL</x:v>
      </x:c>
      <x:c r="B1" s="3"/>
      <x:c r="C1" s="3"/>
      <x:c r="D1" s="3"/>
      <x:c r="E1" s="3"/>
      <x:c r="F1" s="3"/>
      <x:c r="G1" s="3"/>
      <x:c r="H1" s="3"/>
    </x:row>
    <x:row r="2">
      <x:c r="A2" s="8" t="str">
        <x:v>Version 1.0 · 21 September 2026 | Proposed requirements and planning data. No game, trained fighter model or leader assets have been produced by this pack.</x:v>
      </x:c>
      <x:c r="B2" s="8"/>
      <x:c r="C2" s="8"/>
      <x:c r="D2" s="8"/>
      <x:c r="E2" s="8"/>
      <x:c r="F2" s="8"/>
      <x:c r="G2" s="8"/>
      <x:c r="H2" s="8"/>
    </x:row>
    <x:row r="3">
      <x:c r="A3" s="8"/>
      <x:c r="B3" s="8"/>
      <x:c r="C3" s="8"/>
      <x:c r="D3" s="8"/>
      <x:c r="E3" s="8"/>
      <x:c r="F3" s="8"/>
      <x:c r="G3" s="8"/>
      <x:c r="H3" s="8"/>
    </x:row>
    <x:row r="5" ht="25" customHeight="1">
      <x:c r="A5" s="12" t="str">
        <x:v>Leader quantity</x:v>
      </x:c>
      <x:c r="B5" s="44" t="n">
        <x:v>2</x:v>
      </x:c>
      <x:c r="D5" s="17" t="str">
        <x:v>HOW TO USE THIS TRACKER</x:v>
      </x:c>
      <x:c r="E5" s="17"/>
      <x:c r="F5" s="17"/>
      <x:c r="G5" s="17"/>
      <x:c r="H5" s="17"/>
    </x:row>
    <x:row r="6" ht="25" customHeight="1">
      <x:c r="A6" s="12" t="str">
        <x:v>Arena quantity</x:v>
      </x:c>
      <x:c r="B6" s="44" t="n">
        <x:v>1</x:v>
      </x:c>
    </x:row>
    <x:row r="7" ht="25" customHeight="1">
      <x:c r="A7" s="12" t="str">
        <x:v>Scope inputs are editable</x:v>
      </x:c>
      <x:c r="B7" s="12"/>
      <x:c r="D7" s="8" t="str">
        <x:v>1  Start with the PRD and the anonymous combat prototype.</x:v>
      </x:c>
      <x:c r="E7" s="8"/>
      <x:c r="F7" s="8"/>
      <x:c r="G7" s="8"/>
      <x:c r="H7" s="8"/>
    </x:row>
    <x:row r="8" ht="25" customHeight="1">
      <x:c r="A8" s="12" t="str">
        <x:v>Effort baseline: two leaders</x:v>
      </x:c>
      <x:c r="B8" s="12"/>
      <x:c r="D8" s="8"/>
      <x:c r="E8" s="8"/>
      <x:c r="F8" s="8"/>
      <x:c r="G8" s="8"/>
      <x:c r="H8" s="8"/>
    </x:row>
    <x:row r="9" ht="25" customHeight="1">
      <x:c r="A9" s="12"/>
      <x:c r="B9" s="12"/>
    </x:row>
    <x:row r="10" ht="25" customHeight="1">
      <x:c r="A10" s="18" t="str">
        <x:v>PLANNED CONTENT</x:v>
      </x:c>
      <x:c r="B10" s="18"/>
      <x:c r="D10" s="8" t="str">
        <x:v>2  Use Assets, Animations and Moves to brief the art and gameplay team.</x:v>
      </x:c>
      <x:c r="E10" s="8"/>
      <x:c r="F10" s="8"/>
      <x:c r="G10" s="8"/>
      <x:c r="H10" s="8"/>
    </x:row>
    <x:row r="11" ht="25" customHeight="1">
      <x:c r="A11" s="12" t="str">
        <x:v>Asset specification rows</x:v>
      </x:c>
      <x:c r="B11" s="48" t="n">
        <x:f>COUNTA(Assets!A6:A71)</x:f>
        <x:v>66</x:v>
      </x:c>
      <x:c r="D11" s="8"/>
      <x:c r="E11" s="8"/>
      <x:c r="F11" s="8"/>
      <x:c r="G11" s="8"/>
      <x:c r="H11" s="8"/>
    </x:row>
    <x:row r="12" ht="25" customHeight="1">
      <x:c r="A12" s="12" t="str">
        <x:v>V1 asset deliverable units</x:v>
      </x:c>
      <x:c r="B12" s="48" t="n">
        <x:f>SUMIF(Assets!D6:D71,"V1",Assets!L6:L71)</x:f>
        <x:v>158</x:v>
      </x:c>
    </x:row>
    <x:row r="13" ht="25" customHeight="1">
      <x:c r="A13" s="12" t="str">
        <x:v>Shared V1 animation clips</x:v>
      </x:c>
      <x:c r="B13" s="48" t="n">
        <x:f>COUNTIFS(Animations!C6:C73,"Shared",Animations!D6:D73,"V1")</x:f>
        <x:v>62</x:v>
      </x:c>
      <x:c r="D13" s="8" t="str">
        <x:v>3  Record implementation evidence against each requirement; approvals drive the completion KPI.</x:v>
      </x:c>
      <x:c r="E13" s="8"/>
      <x:c r="F13" s="8"/>
      <x:c r="G13" s="8"/>
      <x:c r="H13" s="8"/>
    </x:row>
    <x:row r="14" ht="25" customHeight="1">
      <x:c r="A14" s="12" t="str">
        <x:v>V1 leader-specific clips</x:v>
      </x:c>
      <x:c r="B14" s="48" t="n">
        <x:f>COUNTIFS(Animations!C6:C73,"Per leader",Animations!D6:D73,"V1")*$B$5</x:f>
        <x:v>8</x:v>
      </x:c>
      <x:c r="D14" s="8"/>
      <x:c r="E14" s="8"/>
      <x:c r="F14" s="8"/>
      <x:c r="G14" s="8"/>
      <x:c r="H14" s="8"/>
    </x:row>
    <x:row r="15" ht="25" customHeight="1">
      <x:c r="A15" s="12" t="str">
        <x:v>V1 action entries</x:v>
      </x:c>
      <x:c r="B15" s="48" t="n">
        <x:f>COUNTIF(Moves!S6:S27,"V1")</x:f>
        <x:v>21</x:v>
      </x:c>
    </x:row>
    <x:row r="16" ht="25" customHeight="1">
      <x:c r="A16" s="12" t="str">
        <x:v>Requirements</x:v>
      </x:c>
      <x:c r="B16" s="48" t="n">
        <x:f>COUNTA(Requirements!A6:A63)</x:f>
        <x:v>58</x:v>
      </x:c>
      <x:c r="D16" s="8" t="str">
        <x:v>4  Roster entries are blocked until official-office verification and content/rights approval.</x:v>
      </x:c>
      <x:c r="E16" s="8"/>
      <x:c r="F16" s="8"/>
      <x:c r="G16" s="8"/>
      <x:c r="H16" s="8"/>
    </x:row>
    <x:row r="17" ht="25" customHeight="1">
      <x:c r="A17" s="12" t="str">
        <x:v>Coverage entries (unverified)</x:v>
      </x:c>
      <x:c r="B17" s="48" t="n">
        <x:f>COUNTA(Roster!A6:A57)</x:f>
        <x:v>52</x:v>
      </x:c>
      <x:c r="D17" s="8"/>
      <x:c r="E17" s="8"/>
      <x:c r="F17" s="8"/>
      <x:c r="G17" s="8"/>
      <x:c r="H17" s="8"/>
    </x:row>
    <x:row r="18" ht="25" customHeight="1">
      <x:c r="A18" s="18" t="str">
        <x:v>RELEASE PROGRESS</x:v>
      </x:c>
      <x:c r="B18" s="18"/>
    </x:row>
    <x:row r="19" ht="25" customHeight="1">
      <x:c r="A19" s="12" t="str">
        <x:v>Approved requirements</x:v>
      </x:c>
      <x:c r="B19" s="48" t="n">
        <x:f>COUNTIF(Requirements!G6:G63,"Approved")</x:f>
        <x:v>0</x:v>
      </x:c>
      <x:c r="D19" s="8" t="str">
        <x:v>5  Publish only measured Laya behaviour and latency. Example scores are not observations.</x:v>
      </x:c>
      <x:c r="E19" s="8"/>
      <x:c r="F19" s="8"/>
      <x:c r="G19" s="8"/>
      <x:c r="H19" s="8"/>
    </x:row>
    <x:row r="20" ht="25" customHeight="1">
      <x:c r="A20" s="12" t="str">
        <x:v>Requirements completion</x:v>
      </x:c>
      <x:c r="B20" s="49" t="n">
        <x:f>IFERROR(B19/B16,0)</x:f>
        <x:v>0</x:v>
      </x:c>
      <x:c r="D20" s="8"/>
      <x:c r="E20" s="8"/>
      <x:c r="F20" s="8"/>
      <x:c r="G20" s="8"/>
      <x:c r="H20" s="8"/>
    </x:row>
    <x:row r="21" ht="25" customHeight="1">
      <x:c r="A21" s="12" t="str">
        <x:v>Effort: low person-days</x:v>
      </x:c>
      <x:c r="B21" s="48" t="n">
        <x:f>SUM(Effort!D6:D15)</x:f>
        <x:v>96</x:v>
      </x:c>
    </x:row>
    <x:row r="22" ht="25" customHeight="1">
      <x:c r="A22" s="12" t="str">
        <x:v>Effort: high person-days</x:v>
      </x:c>
      <x:c r="B22" s="48" t="n">
        <x:f>SUM(Effort!E6:E15)</x:f>
        <x:v>175</x:v>
      </x:c>
      <x:c r="D22" s="8" t="str">
        <x:v>Budget boundaries: art/licensing purchases, hosting and broad roster expansion are not priced here.</x:v>
      </x:c>
      <x:c r="E22" s="8"/>
      <x:c r="F22" s="8"/>
      <x:c r="G22" s="8"/>
      <x:c r="H22" s="8"/>
    </x:row>
    <x:row r="23" ht="25" customHeight="1">
      <x:c r="D23" s="8"/>
      <x:c r="E23" s="8"/>
      <x:c r="F23" s="8"/>
      <x:c r="G23" s="8"/>
      <x:c r="H23" s="8"/>
    </x:row>
    <x:row r="24" ht="25" customHeight="1"/>
    <x:row r="25" ht="25" customHeight="1"/>
  </x:sheetData>
  <x:mergeCells>
    <x:mergeCell ref="A1:H1"/>
    <x:mergeCell ref="A2:H3"/>
    <x:mergeCell ref="D5:H5"/>
    <x:mergeCell ref="D7:H8"/>
    <x:mergeCell ref="D10:H11"/>
    <x:mergeCell ref="D13:H14"/>
    <x:mergeCell ref="D16:H17"/>
    <x:mergeCell ref="D19:H20"/>
    <x:mergeCell ref="D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5" hidden="0" customWidth="1"/>
    <x:col min="4" max="4" width="9" hidden="0" customWidth="1"/>
    <x:col min="5" max="5" width="12" hidden="0" customWidth="1"/>
    <x:col min="6" max="6" width="23" hidden="0" customWidth="1"/>
    <x:col min="7" max="7" width="18" hidden="0" customWidth="1"/>
    <x:col min="8" max="8" width="38" hidden="0" customWidth="1"/>
    <x:col min="9" max="9" width="40" hidden="0" customWidth="1"/>
    <x:col min="10" max="10" width="36" hidden="0" customWidth="1"/>
    <x:col min="11" max="11" width="12" hidden="0" customWidth="1"/>
    <x:col min="12" max="12" width="12" hidden="0" customWidth="1"/>
  </x:cols>
  <x:sheetData>
    <x:row r="1" ht="30" customHeight="1">
      <x:c r="A1" s="3" t="str">
        <x:v>SUMMIT SHOWDOWN  /  ASSETS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8" t="str">
        <x:v>Requirements, not supplied assets. Per-leader and per-arena rows scale from Summary inputs. Audio quantities count planned sound files. All production status starts uncompleted.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5" ht="34" customHeight="1">
      <x:c r="A5" s="19" t="str">
        <x:v>Asset ID</x:v>
      </x:c>
      <x:c r="B5" s="19" t="str">
        <x:v>Required asset</x:v>
      </x:c>
      <x:c r="C5" s="19" t="str">
        <x:v>Scope</x:v>
      </x:c>
      <x:c r="D5" s="19" t="str">
        <x:v>Phase</x:v>
      </x:c>
      <x:c r="E5" s="19" t="str">
        <x:v>Units per scope</x:v>
      </x:c>
      <x:c r="F5" s="19" t="str">
        <x:v>Owner</x:v>
      </x:c>
      <x:c r="G5" s="19" t="str">
        <x:v>Status</x:v>
      </x:c>
      <x:c r="H5" s="19" t="str">
        <x:v>Deliverable</x:v>
      </x:c>
      <x:c r="I5" s="19" t="str">
        <x:v>Acceptance</x:v>
      </x:c>
      <x:c r="J5" s="19" t="str">
        <x:v>Source / rights basis</x:v>
      </x:c>
      <x:c r="K5" s="19" t="str">
        <x:v>Scope multiplier</x:v>
      </x:c>
      <x:c r="L5" s="19" t="str">
        <x:v>Planned units</x:v>
      </x:c>
    </x:row>
    <x:row r="6" ht="72" customHeight="1">
      <x:c r="A6" s="13" t="str">
        <x:v>CHAR-REF</x:v>
      </x:c>
      <x:c r="B6" s="13" t="str">
        <x:v>Likeness reference pack</x:v>
      </x:c>
      <x:c r="C6" s="13" t="str">
        <x:v>Per leader</x:v>
      </x:c>
      <x:c r="D6" s="13" t="str">
        <x:v>V1</x:v>
      </x:c>
      <x:c r="E6" s="24" t="n">
        <x:v>1</x:v>
      </x:c>
      <x:c r="F6" s="13" t="str">
        <x:v>Reference editor</x:v>
      </x:c>
      <x:c r="G6" s="13" t="str">
        <x:v>Not started</x:v>
      </x:c>
      <x:c r="H6" s="13" t="str">
        <x:v>reference_manifest.json + licensed images</x:v>
      </x:c>
      <x:c r="I6" s="13" t="str">
        <x:v>Front, profiles, 3/4, neutral lighting; date and usage basis for every image.</x:v>
      </x:c>
      <x:c r="J6" s="13" t="str">
        <x:v>Original production requirement</x:v>
      </x:c>
      <x:c r="K6" s="13" t="n">
        <x:f>IF(C6="Per leader",Summary!$B$5,IF(C6="Per arena",Summary!$B$6,1))</x:f>
        <x:v>2</x:v>
      </x:c>
      <x:c r="L6" s="13" t="n">
        <x:f>E6*K6</x:f>
        <x:v>2</x:v>
      </x:c>
    </x:row>
    <x:row r="7" ht="72" customHeight="1">
      <x:c r="A7" s="13" t="str">
        <x:v>CHAR-SCULPT</x:v>
      </x:c>
      <x:c r="B7" s="13" t="str">
        <x:v>High-resolution head sculpt</x:v>
      </x:c>
      <x:c r="C7" s="13" t="str">
        <x:v>Per leader</x:v>
      </x:c>
      <x:c r="D7" s="13" t="str">
        <x:v>V1</x:v>
      </x:c>
      <x:c r="E7" s="24" t="n">
        <x:v>1</x:v>
      </x:c>
      <x:c r="F7" s="13" t="str">
        <x:v>Character artist</x:v>
      </x:c>
      <x:c r="G7" s="13" t="str">
        <x:v>Not started</x:v>
      </x:c>
      <x:c r="H7" s="13" t="str">
        <x:v>.blend or sculpt source</x:v>
      </x:c>
      <x:c r="I7" s="13" t="str">
        <x:v>Recognisable neutral facial structure; no political/personality inference.</x:v>
      </x:c>
      <x:c r="J7" s="13" t="str">
        <x:v>Original production requirement</x:v>
      </x:c>
      <x:c r="K7" s="13" t="n">
        <x:f>IF(C7="Per leader",Summary!$B$5,IF(C7="Per arena",Summary!$B$6,1))</x:f>
        <x:v>2</x:v>
      </x:c>
      <x:c r="L7" s="13" t="n">
        <x:f>E7*K7</x:f>
        <x:v>2</x:v>
      </x:c>
    </x:row>
    <x:row r="8" ht="72" customHeight="1">
      <x:c r="A8" s="13" t="str">
        <x:v>CHAR-HEAD</x:v>
      </x:c>
      <x:c r="B8" s="13" t="str">
        <x:v>Retopologised head and neck</x:v>
      </x:c>
      <x:c r="C8" s="13" t="str">
        <x:v>Per leader</x:v>
      </x:c>
      <x:c r="D8" s="13" t="str">
        <x:v>V1</x:v>
      </x:c>
      <x:c r="E8" s="24" t="n">
        <x:v>1</x:v>
      </x:c>
      <x:c r="F8" s="13" t="str">
        <x:v>Character artist</x:v>
      </x:c>
      <x:c r="G8" s="13" t="str">
        <x:v>Not started</x:v>
      </x:c>
      <x:c r="H8" s="13" t="str">
        <x:v>Source mesh + GLB</x:v>
      </x:c>
      <x:c r="I8" s="13" t="str">
        <x:v>Deformation loops at eyelids, mouth, jaw; neck seam survives every expression.</x:v>
      </x:c>
      <x:c r="J8" s="13" t="str">
        <x:v>Original production requirement</x:v>
      </x:c>
      <x:c r="K8" s="13" t="n">
        <x:f>IF(C8="Per leader",Summary!$B$5,IF(C8="Per arena",Summary!$B$6,1))</x:f>
        <x:v>2</x:v>
      </x:c>
      <x:c r="L8" s="13" t="n">
        <x:f>E8*K8</x:f>
        <x:v>2</x:v>
      </x:c>
    </x:row>
    <x:row r="9" ht="72" customHeight="1">
      <x:c r="A9" s="13" t="str">
        <x:v>CHAR-BODY</x:v>
      </x:c>
      <x:c r="B9" s="13" t="str">
        <x:v>Canonical-height body fit</x:v>
      </x:c>
      <x:c r="C9" s="13" t="str">
        <x:v>Per leader</x:v>
      </x:c>
      <x:c r="D9" s="13" t="str">
        <x:v>V1</x:v>
      </x:c>
      <x:c r="E9" s="24" t="n">
        <x:v>1</x:v>
      </x:c>
      <x:c r="F9" s="13" t="str">
        <x:v>Technical artist</x:v>
      </x:c>
      <x:c r="G9" s="13" t="str">
        <x:v>Not started</x:v>
      </x:c>
      <x:c r="H9" s="13" t="str">
        <x:v>Rigged source mesh</x:v>
      </x:c>
      <x:c r="I9" s="13" t="str">
        <x:v>Fits canonical collision envelope and shared skeleton; no per-avatar mechanical stats.</x:v>
      </x:c>
      <x:c r="J9" s="13" t="str">
        <x:v>Original production requirement</x:v>
      </x:c>
      <x:c r="K9" s="13" t="n">
        <x:f>IF(C9="Per leader",Summary!$B$5,IF(C9="Per arena",Summary!$B$6,1))</x:f>
        <x:v>2</x:v>
      </x:c>
      <x:c r="L9" s="13" t="n">
        <x:f>E9*K9</x:f>
        <x:v>2</x:v>
      </x:c>
    </x:row>
    <x:row r="10" ht="72" customHeight="1">
      <x:c r="A10" s="13" t="str">
        <x:v>CHAR-SUIT</x:v>
      </x:c>
      <x:c r="B10" s="13" t="str">
        <x:v>Primary tailored outfit</x:v>
      </x:c>
      <x:c r="C10" s="13" t="str">
        <x:v>Per leader</x:v>
      </x:c>
      <x:c r="D10" s="13" t="str">
        <x:v>V1</x:v>
      </x:c>
      <x:c r="E10" s="24" t="n">
        <x:v>1</x:v>
      </x:c>
      <x:c r="F10" s="13" t="str">
        <x:v>Character artist</x:v>
      </x:c>
      <x:c r="G10" s="13" t="str">
        <x:v>Not started</x:v>
      </x:c>
      <x:c r="H10" s="13" t="str">
        <x:v>Source garment meshes</x:v>
      </x:c>
      <x:c r="I10" s="13" t="str">
        <x:v>Separate lapels, collar and cuffs; no shoulder collapse at guard pose.</x:v>
      </x:c>
      <x:c r="J10" s="13" t="str">
        <x:v>Original production requirement</x:v>
      </x:c>
      <x:c r="K10" s="13" t="n">
        <x:f>IF(C10="Per leader",Summary!$B$5,IF(C10="Per arena",Summary!$B$6,1))</x:f>
        <x:v>2</x:v>
      </x:c>
      <x:c r="L10" s="13" t="n">
        <x:f>E10*K10</x:f>
        <x:v>2</x:v>
      </x:c>
    </x:row>
    <x:row r="11" ht="72" customHeight="1">
      <x:c r="A11" s="13" t="str">
        <x:v>CHAR-ALT</x:v>
      </x:c>
      <x:c r="B11" s="13" t="str">
        <x:v>Mirror-match outfit material</x:v>
      </x:c>
      <x:c r="C11" s="13" t="str">
        <x:v>Per leader</x:v>
      </x:c>
      <x:c r="D11" s="13" t="str">
        <x:v>V1</x:v>
      </x:c>
      <x:c r="E11" s="24" t="n">
        <x:v>1</x:v>
      </x:c>
      <x:c r="F11" s="13" t="str">
        <x:v>Character artist</x:v>
      </x:c>
      <x:c r="G11" s="13" t="str">
        <x:v>Not started</x:v>
      </x:c>
      <x:c r="H11" s="13" t="str">
        <x:v>Material variant</x:v>
      </x:c>
      <x:c r="I11" s="13" t="str">
        <x:v>Two fighters distinguishable without relying only on colour.</x:v>
      </x:c>
      <x:c r="J11" s="13" t="str">
        <x:v>Original production requirement</x:v>
      </x:c>
      <x:c r="K11" s="13" t="n">
        <x:f>IF(C11="Per leader",Summary!$B$5,IF(C11="Per arena",Summary!$B$6,1))</x:f>
        <x:v>2</x:v>
      </x:c>
      <x:c r="L11" s="13" t="n">
        <x:f>E11*K11</x:f>
        <x:v>2</x:v>
      </x:c>
    </x:row>
    <x:row r="12" ht="72" customHeight="1">
      <x:c r="A12" s="13" t="str">
        <x:v>CHAR-HAIR</x:v>
      </x:c>
      <x:c r="B12" s="13" t="str">
        <x:v>Hair and facial-hair cards</x:v>
      </x:c>
      <x:c r="C12" s="13" t="str">
        <x:v>Per leader</x:v>
      </x:c>
      <x:c r="D12" s="13" t="str">
        <x:v>V1</x:v>
      </x:c>
      <x:c r="E12" s="24" t="n">
        <x:v>1</x:v>
      </x:c>
      <x:c r="F12" s="13" t="str">
        <x:v>Groom artist</x:v>
      </x:c>
      <x:c r="G12" s="13" t="str">
        <x:v>Not started</x:v>
      </x:c>
      <x:c r="H12" s="13" t="str">
        <x:v>Hair-card meshes + atlas</x:v>
      </x:c>
      <x:c r="I12" s="13" t="str">
        <x:v>Silhouette preserved; no expensive strand simulation; alpha overdraw tested.</x:v>
      </x:c>
      <x:c r="J12" s="13" t="str">
        <x:v>Original production requirement</x:v>
      </x:c>
      <x:c r="K12" s="13" t="n">
        <x:f>IF(C12="Per leader",Summary!$B$5,IF(C12="Per arena",Summary!$B$6,1))</x:f>
        <x:v>2</x:v>
      </x:c>
      <x:c r="L12" s="13" t="n">
        <x:f>E12*K12</x:f>
        <x:v>2</x:v>
      </x:c>
    </x:row>
    <x:row r="13" ht="72" customHeight="1">
      <x:c r="A13" s="13" t="str">
        <x:v>CHAR-EYES</x:v>
      </x:c>
      <x:c r="B13" s="13" t="str">
        <x:v>Eyes, corneas and lashes</x:v>
      </x:c>
      <x:c r="C13" s="13" t="str">
        <x:v>Per leader</x:v>
      </x:c>
      <x:c r="D13" s="13" t="str">
        <x:v>V1</x:v>
      </x:c>
      <x:c r="E13" s="24" t="n">
        <x:v>1</x:v>
      </x:c>
      <x:c r="F13" s="13" t="str">
        <x:v>Character artist</x:v>
      </x:c>
      <x:c r="G13" s="13" t="str">
        <x:v>Not started</x:v>
      </x:c>
      <x:c r="H13" s="13" t="str">
        <x:v>Eye meshes/materials</x:v>
      </x:c>
      <x:c r="I13" s="13" t="str">
        <x:v>No wall-eyed neutral gaze; blink closure complete; highlights not baked into skin.</x:v>
      </x:c>
      <x:c r="J13" s="13" t="str">
        <x:v>Original production requirement</x:v>
      </x:c>
      <x:c r="K13" s="13" t="n">
        <x:f>IF(C13="Per leader",Summary!$B$5,IF(C13="Per arena",Summary!$B$6,1))</x:f>
        <x:v>2</x:v>
      </x:c>
      <x:c r="L13" s="13" t="n">
        <x:f>E13*K13</x:f>
        <x:v>2</x:v>
      </x:c>
    </x:row>
    <x:row r="14" ht="72" customHeight="1">
      <x:c r="A14" s="13" t="str">
        <x:v>CHAR-MOUTH</x:v>
      </x:c>
      <x:c r="B14" s="13" t="str">
        <x:v>Teeth and mouth cavity</x:v>
      </x:c>
      <x:c r="C14" s="13" t="str">
        <x:v>Per leader</x:v>
      </x:c>
      <x:c r="D14" s="13" t="str">
        <x:v>V1</x:v>
      </x:c>
      <x:c r="E14" s="24" t="n">
        <x:v>1</x:v>
      </x:c>
      <x:c r="F14" s="13" t="str">
        <x:v>Character artist</x:v>
      </x:c>
      <x:c r="G14" s="13" t="str">
        <x:v>Not started</x:v>
      </x:c>
      <x:c r="H14" s="13" t="str">
        <x:v>Oral meshes/materials</x:v>
      </x:c>
      <x:c r="I14" s="13" t="str">
        <x:v>No empty dark mouth at exertion; only visible geometry retained in low LOD.</x:v>
      </x:c>
      <x:c r="J14" s="13" t="str">
        <x:v>Original production requirement</x:v>
      </x:c>
      <x:c r="K14" s="13" t="n">
        <x:f>IF(C14="Per leader",Summary!$B$5,IF(C14="Per arena",Summary!$B$6,1))</x:f>
        <x:v>2</x:v>
      </x:c>
      <x:c r="L14" s="13" t="n">
        <x:f>E14*K14</x:f>
        <x:v>2</x:v>
      </x:c>
    </x:row>
    <x:row r="15" ht="72" customHeight="1">
      <x:c r="A15" s="13" t="str">
        <x:v>CHAR-RIG</x:v>
      </x:c>
      <x:c r="B15" s="13" t="str">
        <x:v>Canonical rig binding</x:v>
      </x:c>
      <x:c r="C15" s="13" t="str">
        <x:v>Per leader</x:v>
      </x:c>
      <x:c r="D15" s="13" t="str">
        <x:v>V1</x:v>
      </x:c>
      <x:c r="E15" s="24" t="n">
        <x:v>1</x:v>
      </x:c>
      <x:c r="F15" s="13" t="str">
        <x:v>Technical animator</x:v>
      </x:c>
      <x:c r="G15" s="13" t="str">
        <x:v>Not started</x:v>
      </x:c>
      <x:c r="H15" s="13" t="str">
        <x:v>Rigged source + skeleton hash</x:v>
      </x:c>
      <x:c r="I15" s="13" t="str">
        <x:v>At most 90 deform joints; max four skin influences per vertex; required sockets.</x:v>
      </x:c>
      <x:c r="J15" s="13" t="str">
        <x:v>Original production requirement</x:v>
      </x:c>
      <x:c r="K15" s="13" t="n">
        <x:f>IF(C15="Per leader",Summary!$B$5,IF(C15="Per arena",Summary!$B$6,1))</x:f>
        <x:v>2</x:v>
      </x:c>
      <x:c r="L15" s="13" t="n">
        <x:f>E15*K15</x:f>
        <x:v>2</x:v>
      </x:c>
    </x:row>
    <x:row r="16" ht="72" customHeight="1">
      <x:c r="A16" s="13" t="str">
        <x:v>CHAR-FACE</x:v>
      </x:c>
      <x:c r="B16" s="13" t="str">
        <x:v>Facial morph set</x:v>
      </x:c>
      <x:c r="C16" s="13" t="str">
        <x:v>Per leader</x:v>
      </x:c>
      <x:c r="D16" s="13" t="str">
        <x:v>V1</x:v>
      </x:c>
      <x:c r="E16" s="24" t="n">
        <x:v>1</x:v>
      </x:c>
      <x:c r="F16" s="13" t="str">
        <x:v>Facial animator</x:v>
      </x:c>
      <x:c r="G16" s="13" t="str">
        <x:v>Not started</x:v>
      </x:c>
      <x:c r="H16" s="13" t="str">
        <x:v>Morph targets + mapping</x:v>
      </x:c>
      <x:c r="I16" s="13" t="str">
        <x:v>24 defined runtime facial shapes; neutral base; individual and combined pose review.</x:v>
      </x:c>
      <x:c r="J16" s="13" t="str">
        <x:v>Original production requirement</x:v>
      </x:c>
      <x:c r="K16" s="13" t="n">
        <x:f>IF(C16="Per leader",Summary!$B$5,IF(C16="Per arena",Summary!$B$6,1))</x:f>
        <x:v>2</x:v>
      </x:c>
      <x:c r="L16" s="13" t="n">
        <x:f>E16*K16</x:f>
        <x:v>2</x:v>
      </x:c>
    </x:row>
    <x:row r="17" ht="72" customHeight="1">
      <x:c r="A17" s="13" t="str">
        <x:v>CHAR-SKIN</x:v>
      </x:c>
      <x:c r="B17" s="13" t="str">
        <x:v>Skin PBR texture set</x:v>
      </x:c>
      <x:c r="C17" s="13" t="str">
        <x:v>Per leader</x:v>
      </x:c>
      <x:c r="D17" s="13" t="str">
        <x:v>V1</x:v>
      </x:c>
      <x:c r="E17" s="24" t="n">
        <x:v>1</x:v>
      </x:c>
      <x:c r="F17" s="13" t="str">
        <x:v>Texture artist</x:v>
      </x:c>
      <x:c r="G17" s="13" t="str">
        <x:v>Not started</x:v>
      </x:c>
      <x:c r="H17" s="13" t="str">
        <x:v>Base/normal/ORM + optional masks</x:v>
      </x:c>
      <x:c r="I17" s="13" t="str">
        <x:v>2K fight; 4K portrait optional; no directional highlights painted into base colour.</x:v>
      </x:c>
      <x:c r="J17" s="13" t="str">
        <x:v>Original production requirement</x:v>
      </x:c>
      <x:c r="K17" s="13" t="n">
        <x:f>IF(C17="Per leader",Summary!$B$5,IF(C17="Per arena",Summary!$B$6,1))</x:f>
        <x:v>2</x:v>
      </x:c>
      <x:c r="L17" s="13" t="n">
        <x:f>E17*K17</x:f>
        <x:v>2</x:v>
      </x:c>
    </x:row>
    <x:row r="18" ht="72" customHeight="1">
      <x:c r="A18" s="13" t="str">
        <x:v>CHAR-CLOTH</x:v>
      </x:c>
      <x:c r="B18" s="13" t="str">
        <x:v>Clothing PBR texture set</x:v>
      </x:c>
      <x:c r="C18" s="13" t="str">
        <x:v>Per leader</x:v>
      </x:c>
      <x:c r="D18" s="13" t="str">
        <x:v>V1</x:v>
      </x:c>
      <x:c r="E18" s="24" t="n">
        <x:v>1</x:v>
      </x:c>
      <x:c r="F18" s="13" t="str">
        <x:v>Texture artist</x:v>
      </x:c>
      <x:c r="G18" s="13" t="str">
        <x:v>Not started</x:v>
      </x:c>
      <x:c r="H18" s="13" t="str">
        <x:v>Base/normal/ORM</x:v>
      </x:c>
      <x:c r="I18" s="13" t="str">
        <x:v>2K atlas; cloth roughness visibly distinct from skin and shoes.</x:v>
      </x:c>
      <x:c r="J18" s="13" t="str">
        <x:v>Original production requirement</x:v>
      </x:c>
      <x:c r="K18" s="13" t="n">
        <x:f>IF(C18="Per leader",Summary!$B$5,IF(C18="Per arena",Summary!$B$6,1))</x:f>
        <x:v>2</x:v>
      </x:c>
      <x:c r="L18" s="13" t="n">
        <x:f>E18*K18</x:f>
        <x:v>2</x:v>
      </x:c>
    </x:row>
    <x:row r="19" ht="72" customHeight="1">
      <x:c r="A19" s="13" t="str">
        <x:v>CHAR-DETAIL</x:v>
      </x:c>
      <x:c r="B19" s="13" t="str">
        <x:v>Hair/eyes/accessory atlases</x:v>
      </x:c>
      <x:c r="C19" s="13" t="str">
        <x:v>Per leader</x:v>
      </x:c>
      <x:c r="D19" s="13" t="str">
        <x:v>V1</x:v>
      </x:c>
      <x:c r="E19" s="24" t="n">
        <x:v>1</x:v>
      </x:c>
      <x:c r="F19" s="13" t="str">
        <x:v>Texture artist</x:v>
      </x:c>
      <x:c r="G19" s="13" t="str">
        <x:v>Not started</x:v>
      </x:c>
      <x:c r="H19" s="13" t="str">
        <x:v>1K/2K atlas sets</x:v>
      </x:c>
      <x:c r="I19" s="13" t="str">
        <x:v>Alpha edges clean at scaled capture; material count within budget.</x:v>
      </x:c>
      <x:c r="J19" s="13" t="str">
        <x:v>Original production requirement</x:v>
      </x:c>
      <x:c r="K19" s="13" t="n">
        <x:f>IF(C19="Per leader",Summary!$B$5,IF(C19="Per arena",Summary!$B$6,1))</x:f>
        <x:v>2</x:v>
      </x:c>
      <x:c r="L19" s="13" t="n">
        <x:f>E19*K19</x:f>
        <x:v>2</x:v>
      </x:c>
    </x:row>
    <x:row r="20" ht="72" customHeight="1">
      <x:c r="A20" s="13" t="str">
        <x:v>CHAR-LOD</x:v>
      </x:c>
      <x:c r="B20" s="13" t="str">
        <x:v>Mesh level-of-detail set</x:v>
      </x:c>
      <x:c r="C20" s="13" t="str">
        <x:v>Per leader</x:v>
      </x:c>
      <x:c r="D20" s="13" t="str">
        <x:v>V1</x:v>
      </x:c>
      <x:c r="E20" s="24" t="n">
        <x:v>1</x:v>
      </x:c>
      <x:c r="F20" s="13" t="str">
        <x:v>Technical artist</x:v>
      </x:c>
      <x:c r="G20" s="13" t="str">
        <x:v>Not started</x:v>
      </x:c>
      <x:c r="H20" s="13" t="str">
        <x:v>LOD0/1/2/3 GLB</x:v>
      </x:c>
      <x:c r="I20" s="13" t="str">
        <x:v>120k / 60k / 30k / 12k triangle caps; transitions preserve face silhouette.</x:v>
      </x:c>
      <x:c r="J20" s="13" t="str">
        <x:v>Original production requirement</x:v>
      </x:c>
      <x:c r="K20" s="13" t="n">
        <x:f>IF(C20="Per leader",Summary!$B$5,IF(C20="Per arena",Summary!$B$6,1))</x:f>
        <x:v>2</x:v>
      </x:c>
      <x:c r="L20" s="13" t="n">
        <x:f>E20*K20</x:f>
        <x:v>2</x:v>
      </x:c>
    </x:row>
    <x:row r="21" ht="72" customHeight="1">
      <x:c r="A21" s="13" t="str">
        <x:v>CHAR-SECONDARY</x:v>
      </x:c>
      <x:c r="B21" s="13" t="str">
        <x:v>Tie/lapel secondary rig</x:v>
      </x:c>
      <x:c r="C21" s="13" t="str">
        <x:v>Per leader</x:v>
      </x:c>
      <x:c r="D21" s="13" t="str">
        <x:v>V1</x:v>
      </x:c>
      <x:c r="E21" s="24" t="n">
        <x:v>1</x:v>
      </x:c>
      <x:c r="F21" s="13" t="str">
        <x:v>Technical animator</x:v>
      </x:c>
      <x:c r="G21" s="13" t="str">
        <x:v>Not started</x:v>
      </x:c>
      <x:c r="H21" s="13" t="str">
        <x:v>Bones + parameters</x:v>
      </x:c>
      <x:c r="I21" s="13" t="str">
        <x:v>Visual only; deterministic seeded playback or recorded curves; never affects hitboxes.</x:v>
      </x:c>
      <x:c r="J21" s="13" t="str">
        <x:v>Original production requirement</x:v>
      </x:c>
      <x:c r="K21" s="13" t="n">
        <x:f>IF(C21="Per leader",Summary!$B$5,IF(C21="Per arena",Summary!$B$6,1))</x:f>
        <x:v>2</x:v>
      </x:c>
      <x:c r="L21" s="13" t="n">
        <x:f>E21*K21</x:f>
        <x:v>2</x:v>
      </x:c>
    </x:row>
    <x:row r="22" ht="72" customHeight="1">
      <x:c r="A22" s="13" t="str">
        <x:v>CHAR-PORTRAIT</x:v>
      </x:c>
      <x:c r="B22" s="13" t="str">
        <x:v>Character-selection portrait</x:v>
      </x:c>
      <x:c r="C22" s="13" t="str">
        <x:v>Per leader</x:v>
      </x:c>
      <x:c r="D22" s="13" t="str">
        <x:v>V1</x:v>
      </x:c>
      <x:c r="E22" s="24" t="n">
        <x:v>1</x:v>
      </x:c>
      <x:c r="F22" s="13" t="str">
        <x:v>UI artist</x:v>
      </x:c>
      <x:c r="G22" s="13" t="str">
        <x:v>Not started</x:v>
      </x:c>
      <x:c r="H22" s="13" t="str">
        <x:v>WebP + source</x:v>
      </x:c>
      <x:c r="I22" s="13" t="str">
        <x:v>Neutral lighting and expression; identical framing for all avatars.</x:v>
      </x:c>
      <x:c r="J22" s="13" t="str">
        <x:v>Original production requirement</x:v>
      </x:c>
      <x:c r="K22" s="13" t="n">
        <x:f>IF(C22="Per leader",Summary!$B$5,IF(C22="Per arena",Summary!$B$6,1))</x:f>
        <x:v>2</x:v>
      </x:c>
      <x:c r="L22" s="13" t="n">
        <x:f>E22*K22</x:f>
        <x:v>2</x:v>
      </x:c>
    </x:row>
    <x:row r="23" ht="72" customHeight="1">
      <x:c r="A23" s="13" t="str">
        <x:v>CHAR-CARD</x:v>
      </x:c>
      <x:c r="B23" s="13" t="str">
        <x:v>Roster card metadata</x:v>
      </x:c>
      <x:c r="C23" s="13" t="str">
        <x:v>Per leader</x:v>
      </x:c>
      <x:c r="D23" s="13" t="str">
        <x:v>V1</x:v>
      </x:c>
      <x:c r="E23" s="24" t="n">
        <x:v>1</x:v>
      </x:c>
      <x:c r="F23" s="13" t="str">
        <x:v>Content editor</x:v>
      </x:c>
      <x:c r="G23" s="13" t="str">
        <x:v>Not started</x:v>
      </x:c>
      <x:c r="H23" s="13" t="str">
        <x:v>leader_manifest.json</x:v>
      </x:c>
      <x:c r="I23" s="13" t="str">
        <x:v>Office source and verification timestamp; explicit blocked status until cleared.</x:v>
      </x:c>
      <x:c r="J23" s="13" t="str">
        <x:v>Original production requirement</x:v>
      </x:c>
      <x:c r="K23" s="13" t="n">
        <x:f>IF(C23="Per leader",Summary!$B$5,IF(C23="Per arena",Summary!$B$6,1))</x:f>
        <x:v>2</x:v>
      </x:c>
      <x:c r="L23" s="13" t="n">
        <x:f>E23*K23</x:f>
        <x:v>2</x:v>
      </x:c>
    </x:row>
    <x:row r="24" ht="72" customHeight="1">
      <x:c r="A24" s="13" t="str">
        <x:v>CHAR-EXPORT</x:v>
      </x:c>
      <x:c r="B24" s="13" t="str">
        <x:v>Runtime character bundle</x:v>
      </x:c>
      <x:c r="C24" s="13" t="str">
        <x:v>Per leader</x:v>
      </x:c>
      <x:c r="D24" s="13" t="str">
        <x:v>V1</x:v>
      </x:c>
      <x:c r="E24" s="24" t="n">
        <x:v>1</x:v>
      </x:c>
      <x:c r="F24" s="13" t="str">
        <x:v>Technical artist</x:v>
      </x:c>
      <x:c r="G24" s="13" t="str">
        <x:v>Not started</x:v>
      </x:c>
      <x:c r="H24" s="13" t="str">
        <x:v>Compressed GLB/KTX2</x:v>
      </x:c>
      <x:c r="I24" s="13" t="str">
        <x:v>Standard incremental transfer &lt;=12 MiB; &lt;=8 material primitives; asset checksums.</x:v>
      </x:c>
      <x:c r="J24" s="13" t="str">
        <x:v>Original production requirement</x:v>
      </x:c>
      <x:c r="K24" s="13" t="n">
        <x:f>IF(C24="Per leader",Summary!$B$5,IF(C24="Per arena",Summary!$B$6,1))</x:f>
        <x:v>2</x:v>
      </x:c>
      <x:c r="L24" s="13" t="n">
        <x:f>E24*K24</x:f>
        <x:v>2</x:v>
      </x:c>
    </x:row>
    <x:row r="25" ht="72" customHeight="1">
      <x:c r="A25" s="13" t="str">
        <x:v>CHAR-QA</x:v>
      </x:c>
      <x:c r="B25" s="13" t="str">
        <x:v>Likeness and deformation review</x:v>
      </x:c>
      <x:c r="C25" s="13" t="str">
        <x:v>Per leader</x:v>
      </x:c>
      <x:c r="D25" s="13" t="str">
        <x:v>V1</x:v>
      </x:c>
      <x:c r="E25" s="24" t="n">
        <x:v>1</x:v>
      </x:c>
      <x:c r="F25" s="13" t="str">
        <x:v>QA artist</x:v>
      </x:c>
      <x:c r="G25" s="13" t="str">
        <x:v>Not started</x:v>
      </x:c>
      <x:c r="H25" s="13" t="str">
        <x:v>Turntable + pose/contact sheet</x:v>
      </x:c>
      <x:c r="I25" s="13" t="str">
        <x:v>Front/profile/3/4, neutral light, all attacks/expressions; defects resolved.</x:v>
      </x:c>
      <x:c r="J25" s="13" t="str">
        <x:v>Original production requirement</x:v>
      </x:c>
      <x:c r="K25" s="13" t="n">
        <x:f>IF(C25="Per leader",Summary!$B$5,IF(C25="Per arena",Summary!$B$6,1))</x:f>
        <x:v>2</x:v>
      </x:c>
      <x:c r="L25" s="13" t="n">
        <x:f>E25*K25</x:f>
        <x:v>2</x:v>
      </x:c>
    </x:row>
    <x:row r="26" ht="72" customHeight="1">
      <x:c r="A26" s="13" t="str">
        <x:v>CHAR-RIGHTS</x:v>
      </x:c>
      <x:c r="B26" s="13" t="str">
        <x:v>Asset provenance record</x:v>
      </x:c>
      <x:c r="C26" s="13" t="str">
        <x:v>Per leader</x:v>
      </x:c>
      <x:c r="D26" s="13" t="str">
        <x:v>V1</x:v>
      </x:c>
      <x:c r="E26" s="24" t="n">
        <x:v>1</x:v>
      </x:c>
      <x:c r="F26" s="13" t="str">
        <x:v>Producer</x:v>
      </x:c>
      <x:c r="G26" s="13" t="str">
        <x:v>Not started</x:v>
      </x:c>
      <x:c r="H26" s="13" t="str">
        <x:v>rights_manifest.json</x:v>
      </x:c>
      <x:c r="I26" s="13" t="str">
        <x:v>Source licences, likeness review and artist agreement recorded; public-delivery permission checked.</x:v>
      </x:c>
      <x:c r="J26" s="13" t="str">
        <x:v>Original production requirement</x:v>
      </x:c>
      <x:c r="K26" s="13" t="n">
        <x:f>IF(C26="Per leader",Summary!$B$5,IF(C26="Per arena",Summary!$B$6,1))</x:f>
        <x:v>2</x:v>
      </x:c>
      <x:c r="L26" s="13" t="n">
        <x:f>E26*K26</x:f>
        <x:v>2</x:v>
      </x:c>
    </x:row>
    <x:row r="27" ht="72" customHeight="1">
      <x:c r="A27" s="13" t="str">
        <x:v>SHARED-RIG</x:v>
      </x:c>
      <x:c r="B27" s="13" t="str">
        <x:v>Canonical human skeleton</x:v>
      </x:c>
      <x:c r="C27" s="13" t="str">
        <x:v>Global</x:v>
      </x:c>
      <x:c r="D27" s="13" t="str">
        <x:v>V1</x:v>
      </x:c>
      <x:c r="E27" s="24" t="n">
        <x:v>1</x:v>
      </x:c>
      <x:c r="F27" s="13" t="str">
        <x:v>Technical animator</x:v>
      </x:c>
      <x:c r="G27" s="13" t="str">
        <x:v>Not started</x:v>
      </x:c>
      <x:c r="H27" s="13" t="str">
        <x:v>skeleton.glb + spec</x:v>
      </x:c>
      <x:c r="I27" s="13" t="str">
        <x:v>Single immutable root and socket hierarchy for every fighter.</x:v>
      </x:c>
      <x:c r="J27" s="13" t="str">
        <x:v>Original production requirement</x:v>
      </x:c>
      <x:c r="K27" s="13" t="n">
        <x:f>IF(C27="Per leader",Summary!$B$5,IF(C27="Per arena",Summary!$B$6,1))</x:f>
        <x:v>1</x:v>
      </x:c>
      <x:c r="L27" s="13" t="n">
        <x:f>E27*K27</x:f>
        <x:v>1</x:v>
      </x:c>
    </x:row>
    <x:row r="28" ht="72" customHeight="1">
      <x:c r="A28" s="13" t="str">
        <x:v>SHARED-COLL</x:v>
      </x:c>
      <x:c r="B28" s="13" t="str">
        <x:v>Canonical gameplay volumes</x:v>
      </x:c>
      <x:c r="C28" s="13" t="str">
        <x:v>Global</x:v>
      </x:c>
      <x:c r="D28" s="13" t="str">
        <x:v>V1</x:v>
      </x:c>
      <x:c r="E28" s="24" t="n">
        <x:v>1</x:v>
      </x:c>
      <x:c r="F28" s="13" t="str">
        <x:v>Combat engineer</x:v>
      </x:c>
      <x:c r="G28" s="13" t="str">
        <x:v>Not started</x:v>
      </x:c>
      <x:c r="H28" s="13" t="str">
        <x:v>hurtboxes.json + hitboxes.json</x:v>
      </x:c>
      <x:c r="I28" s="13" t="str">
        <x:v>Sampled by simulation tick; independent of render LOD and leader mesh.</x:v>
      </x:c>
      <x:c r="J28" s="13" t="str">
        <x:v>Original production requirement</x:v>
      </x:c>
      <x:c r="K28" s="13" t="n">
        <x:f>IF(C28="Per leader",Summary!$B$5,IF(C28="Per arena",Summary!$B$6,1))</x:f>
        <x:v>1</x:v>
      </x:c>
      <x:c r="L28" s="13" t="n">
        <x:f>E28*K28</x:f>
        <x:v>1</x:v>
      </x:c>
    </x:row>
    <x:row r="29" ht="72" customHeight="1">
      <x:c r="A29" s="13" t="str">
        <x:v>SHARED-ANIM</x:v>
      </x:c>
      <x:c r="B29" s="13" t="str">
        <x:v>Shared animation library</x:v>
      </x:c>
      <x:c r="C29" s="13" t="str">
        <x:v>Global</x:v>
      </x:c>
      <x:c r="D29" s="13" t="str">
        <x:v>V1</x:v>
      </x:c>
      <x:c r="E29" s="24" t="n">
        <x:v>1</x:v>
      </x:c>
      <x:c r="F29" s="13" t="str">
        <x:v>Animator</x:v>
      </x:c>
      <x:c r="G29" s="13" t="str">
        <x:v>Not started</x:v>
      </x:c>
      <x:c r="H29" s="13" t="str">
        <x:v>clips.glb + animation_manifest.json</x:v>
      </x:c>
      <x:c r="I29" s="13" t="str">
        <x:v>All shared V1 clips from animation register delivered.</x:v>
      </x:c>
      <x:c r="J29" s="13" t="str">
        <x:v>Original production requirement</x:v>
      </x:c>
      <x:c r="K29" s="13" t="n">
        <x:f>IF(C29="Per leader",Summary!$B$5,IF(C29="Per arena",Summary!$B$6,1))</x:f>
        <x:v>1</x:v>
      </x:c>
      <x:c r="L29" s="13" t="n">
        <x:f>E29*K29</x:f>
        <x:v>1</x:v>
      </x:c>
    </x:row>
    <x:row r="30" ht="72" customHeight="1">
      <x:c r="A30" s="13" t="str">
        <x:v>SHARED-FACE</x:v>
      </x:c>
      <x:c r="B30" s="13" t="str">
        <x:v>Facial expression controller</x:v>
      </x:c>
      <x:c r="C30" s="13" t="str">
        <x:v>Global</x:v>
      </x:c>
      <x:c r="D30" s="13" t="str">
        <x:v>V1</x:v>
      </x:c>
      <x:c r="E30" s="24" t="n">
        <x:v>1</x:v>
      </x:c>
      <x:c r="F30" s="13" t="str">
        <x:v>Technical artist</x:v>
      </x:c>
      <x:c r="G30" s="13" t="str">
        <x:v>Not started</x:v>
      </x:c>
      <x:c r="H30" s="13" t="str">
        <x:v>morph mapping + controller spec</x:v>
      </x:c>
      <x:c r="I30" s="13" t="str">
        <x:v>Bounded blends; no inference of real person emotions.</x:v>
      </x:c>
      <x:c r="J30" s="13" t="str">
        <x:v>Original production requirement</x:v>
      </x:c>
      <x:c r="K30" s="13" t="n">
        <x:f>IF(C30="Per leader",Summary!$B$5,IF(C30="Per arena",Summary!$B$6,1))</x:f>
        <x:v>1</x:v>
      </x:c>
      <x:c r="L30" s="13" t="n">
        <x:f>E30*K30</x:f>
        <x:v>1</x:v>
      </x:c>
    </x:row>
    <x:row r="31" ht="72" customHeight="1">
      <x:c r="A31" s="13" t="str">
        <x:v>SHARED-AUDIO</x:v>
      </x:c>
      <x:c r="B31" s="13" t="str">
        <x:v>Generic exertion performances</x:v>
      </x:c>
      <x:c r="C31" s="13" t="str">
        <x:v>Global</x:v>
      </x:c>
      <x:c r="D31" s="13" t="str">
        <x:v>V1</x:v>
      </x:c>
      <x:c r="E31" s="24" t="n">
        <x:v>1</x:v>
      </x:c>
      <x:c r="F31" s="13" t="str">
        <x:v>Sound designer</x:v>
      </x:c>
      <x:c r="G31" s="13" t="str">
        <x:v>Not started</x:v>
      </x:c>
      <x:c r="H31" s="13" t="str">
        <x:v>WAV masters + encoded files</x:v>
      </x:c>
      <x:c r="I31" s="13" t="str">
        <x:v>Commissioned actor recordings; no real-leader voice clone.</x:v>
      </x:c>
      <x:c r="J31" s="13" t="str">
        <x:v>Original production requirement</x:v>
      </x:c>
      <x:c r="K31" s="13" t="n">
        <x:f>IF(C31="Per leader",Summary!$B$5,IF(C31="Per arena",Summary!$B$6,1))</x:f>
        <x:v>1</x:v>
      </x:c>
      <x:c r="L31" s="13" t="n">
        <x:f>E31*K31</x:f>
        <x:v>1</x:v>
      </x:c>
    </x:row>
    <x:row r="32" ht="72" customHeight="1">
      <x:c r="A32" s="13" t="str">
        <x:v>SHARED-FALLBACK</x:v>
      </x:c>
      <x:c r="B32" s="13" t="str">
        <x:v>Anonymous reference fighters</x:v>
      </x:c>
      <x:c r="C32" s="13" t="str">
        <x:v>Global</x:v>
      </x:c>
      <x:c r="D32" s="13" t="str">
        <x:v>V1</x:v>
      </x:c>
      <x:c r="E32" s="24" t="n">
        <x:v>1</x:v>
      </x:c>
      <x:c r="F32" s="13" t="str">
        <x:v>Character artist</x:v>
      </x:c>
      <x:c r="G32" s="13" t="str">
        <x:v>Not started</x:v>
      </x:c>
      <x:c r="H32" s="13" t="str">
        <x:v>Two neutral rigged mannequins</x:v>
      </x:c>
      <x:c r="I32" s="13" t="str">
        <x:v>Usable for benchmarking and for blocked likeness assets.</x:v>
      </x:c>
      <x:c r="J32" s="13" t="str">
        <x:v>Original production requirement</x:v>
      </x:c>
      <x:c r="K32" s="13" t="n">
        <x:f>IF(C32="Per leader",Summary!$B$5,IF(C32="Per arena",Summary!$B$6,1))</x:f>
        <x:v>1</x:v>
      </x:c>
      <x:c r="L32" s="13" t="n">
        <x:f>E32*K32</x:f>
        <x:v>1</x:v>
      </x:c>
    </x:row>
    <x:row r="33" ht="72" customHeight="1">
      <x:c r="A33" s="13" t="str">
        <x:v>SHARED-SHADER</x:v>
      </x:c>
      <x:c r="B33" s="13" t="str">
        <x:v>Material/shader library</x:v>
      </x:c>
      <x:c r="C33" s="13" t="str">
        <x:v>Global</x:v>
      </x:c>
      <x:c r="D33" s="13" t="str">
        <x:v>V1</x:v>
      </x:c>
      <x:c r="E33" s="24" t="n">
        <x:v>1</x:v>
      </x:c>
      <x:c r="F33" s="13" t="str">
        <x:v>Graphics engineer</x:v>
      </x:c>
      <x:c r="G33" s="13" t="str">
        <x:v>Not started</x:v>
      </x:c>
      <x:c r="H33" s="13" t="str">
        <x:v>Versioned shader modules</x:v>
      </x:c>
      <x:c r="I33" s="13" t="str">
        <x:v>Skin, cloth, hair and eyes with tested low-tier fallbacks.</x:v>
      </x:c>
      <x:c r="J33" s="13" t="str">
        <x:v>Original production requirement</x:v>
      </x:c>
      <x:c r="K33" s="13" t="n">
        <x:f>IF(C33="Per leader",Summary!$B$5,IF(C33="Per arena",Summary!$B$6,1))</x:f>
        <x:v>1</x:v>
      </x:c>
      <x:c r="L33" s="13" t="n">
        <x:f>E33*K33</x:f>
        <x:v>1</x:v>
      </x:c>
    </x:row>
    <x:row r="34" ht="72" customHeight="1">
      <x:c r="A34" s="13" t="str">
        <x:v>SHARED-DEBUG</x:v>
      </x:c>
      <x:c r="B34" s="13" t="str">
        <x:v>Asset inspection scene</x:v>
      </x:c>
      <x:c r="C34" s="13" t="str">
        <x:v>Global</x:v>
      </x:c>
      <x:c r="D34" s="13" t="str">
        <x:v>V1</x:v>
      </x:c>
      <x:c r="E34" s="24" t="n">
        <x:v>1</x:v>
      </x:c>
      <x:c r="F34" s="13" t="str">
        <x:v>Graphics engineer</x:v>
      </x:c>
      <x:c r="G34" s="13" t="str">
        <x:v>Not started</x:v>
      </x:c>
      <x:c r="H34" s="13" t="str">
        <x:v>Browser inspection route</x:v>
      </x:c>
      <x:c r="I34" s="13" t="str">
        <x:v>Turntable, neutral lights, skeleton, LOD, morph sliders and frame scrub.</x:v>
      </x:c>
      <x:c r="J34" s="13" t="str">
        <x:v>Original production requirement</x:v>
      </x:c>
      <x:c r="K34" s="13" t="n">
        <x:f>IF(C34="Per leader",Summary!$B$5,IF(C34="Per arena",Summary!$B$6,1))</x:f>
        <x:v>1</x:v>
      </x:c>
      <x:c r="L34" s="13" t="n">
        <x:f>E34*K34</x:f>
        <x:v>1</x:v>
      </x:c>
    </x:row>
    <x:row r="35" ht="72" customHeight="1">
      <x:c r="A35" s="13" t="str">
        <x:v>ARENA-SHELL</x:v>
      </x:c>
      <x:c r="B35" s="13" t="str">
        <x:v>Summit hall shell</x:v>
      </x:c>
      <x:c r="C35" s="13" t="str">
        <x:v>Per arena</x:v>
      </x:c>
      <x:c r="D35" s="13" t="str">
        <x:v>V1</x:v>
      </x:c>
      <x:c r="E35" s="24" t="n">
        <x:v>1</x:v>
      </x:c>
      <x:c r="F35" s="13" t="str">
        <x:v>Environment artist</x:v>
      </x:c>
      <x:c r="G35" s="13" t="str">
        <x:v>Not started</x:v>
      </x:c>
      <x:c r="H35" s="13" t="str">
        <x:v>Source + GLB/textures/config</x:v>
      </x:c>
      <x:c r="I35" s="13" t="str">
        <x:v>Floor/walls/ceiling; navigation bounds separate</x:v>
      </x:c>
      <x:c r="J35" s="13" t="str">
        <x:v>Original production requirement</x:v>
      </x:c>
      <x:c r="K35" s="13" t="n">
        <x:f>IF(C35="Per leader",Summary!$B$5,IF(C35="Per arena",Summary!$B$6,1))</x:f>
        <x:v>1</x:v>
      </x:c>
      <x:c r="L35" s="13" t="n">
        <x:f>E35*K35</x:f>
        <x:v>1</x:v>
      </x:c>
    </x:row>
    <x:row r="36" ht="72" customHeight="1">
      <x:c r="A36" s="13" t="str">
        <x:v>ARENA-FLOOR</x:v>
      </x:c>
      <x:c r="B36" s="13" t="str">
        <x:v>Hero floor materials</x:v>
      </x:c>
      <x:c r="C36" s="13" t="str">
        <x:v>Per arena</x:v>
      </x:c>
      <x:c r="D36" s="13" t="str">
        <x:v>V1</x:v>
      </x:c>
      <x:c r="E36" s="24" t="n">
        <x:v>1</x:v>
      </x:c>
      <x:c r="F36" s="13" t="str">
        <x:v>Environment artist</x:v>
      </x:c>
      <x:c r="G36" s="13" t="str">
        <x:v>Not started</x:v>
      </x:c>
      <x:c r="H36" s="13" t="str">
        <x:v>Source + GLB/textures/config</x:v>
      </x:c>
      <x:c r="I36" s="13" t="str">
        <x:v>Contact shadows; subtle roughness; no mirror-like whole floor</x:v>
      </x:c>
      <x:c r="J36" s="13" t="str">
        <x:v>Original production requirement</x:v>
      </x:c>
      <x:c r="K36" s="13" t="n">
        <x:f>IF(C36="Per leader",Summary!$B$5,IF(C36="Per arena",Summary!$B$6,1))</x:f>
        <x:v>1</x:v>
      </x:c>
      <x:c r="L36" s="13" t="n">
        <x:f>E36*K36</x:f>
        <x:v>1</x:v>
      </x:c>
    </x:row>
    <x:row r="37" ht="72" customHeight="1">
      <x:c r="A37" s="13" t="str">
        <x:v>ARENA-PODIUM</x:v>
      </x:c>
      <x:c r="B37" s="13" t="str">
        <x:v>Breakable podium</x:v>
      </x:c>
      <x:c r="C37" s="13" t="str">
        <x:v>Per arena</x:v>
      </x:c>
      <x:c r="D37" s="13" t="str">
        <x:v>V1</x:v>
      </x:c>
      <x:c r="E37" s="24" t="n">
        <x:v>1</x:v>
      </x:c>
      <x:c r="F37" s="13" t="str">
        <x:v>Environment artist</x:v>
      </x:c>
      <x:c r="G37" s="13" t="str">
        <x:v>Not started</x:v>
      </x:c>
      <x:c r="H37" s="13" t="str">
        <x:v>Source + GLB/textures/config</x:v>
      </x:c>
      <x:c r="I37" s="13" t="str">
        <x:v>Intact + 8-12 pre-fractured pieces; no gameplay collision after break</x:v>
      </x:c>
      <x:c r="J37" s="13" t="str">
        <x:v>Original production requirement</x:v>
      </x:c>
      <x:c r="K37" s="13" t="n">
        <x:f>IF(C37="Per leader",Summary!$B$5,IF(C37="Per arena",Summary!$B$6,1))</x:f>
        <x:v>1</x:v>
      </x:c>
      <x:c r="L37" s="13" t="n">
        <x:f>E37*K37</x:f>
        <x:v>1</x:v>
      </x:c>
    </x:row>
    <x:row r="38" ht="72" customHeight="1">
      <x:c r="A38" s="13" t="str">
        <x:v>ARENA-TABLE</x:v>
      </x:c>
      <x:c r="B38" s="13" t="str">
        <x:v>Conference furniture</x:v>
      </x:c>
      <x:c r="C38" s="13" t="str">
        <x:v>Per arena</x:v>
      </x:c>
      <x:c r="D38" s="13" t="str">
        <x:v>V1</x:v>
      </x:c>
      <x:c r="E38" s="24" t="n">
        <x:v>1</x:v>
      </x:c>
      <x:c r="F38" s="13" t="str">
        <x:v>Environment artist</x:v>
      </x:c>
      <x:c r="G38" s="13" t="str">
        <x:v>Not started</x:v>
      </x:c>
      <x:c r="H38" s="13" t="str">
        <x:v>Source + GLB/textures/config</x:v>
      </x:c>
      <x:c r="I38" s="13" t="str">
        <x:v>Static meshes; hero props no official seals</x:v>
      </x:c>
      <x:c r="J38" s="13" t="str">
        <x:v>Original production requirement</x:v>
      </x:c>
      <x:c r="K38" s="13" t="n">
        <x:f>IF(C38="Per leader",Summary!$B$5,IF(C38="Per arena",Summary!$B$6,1))</x:f>
        <x:v>1</x:v>
      </x:c>
      <x:c r="L38" s="13" t="n">
        <x:f>E38*K38</x:f>
        <x:v>1</x:v>
      </x:c>
    </x:row>
    <x:row r="39" ht="72" customHeight="1">
      <x:c r="A39" s="13" t="str">
        <x:v>ARENA-LIGHT</x:v>
      </x:c>
      <x:c r="B39" s="13" t="str">
        <x:v>Lighting/probe pack</x:v>
      </x:c>
      <x:c r="C39" s="13" t="str">
        <x:v>Per arena</x:v>
      </x:c>
      <x:c r="D39" s="13" t="str">
        <x:v>V1</x:v>
      </x:c>
      <x:c r="E39" s="24" t="n">
        <x:v>1</x:v>
      </x:c>
      <x:c r="F39" s="13" t="str">
        <x:v>Environment artist</x:v>
      </x:c>
      <x:c r="G39" s="13" t="str">
        <x:v>Not started</x:v>
      </x:c>
      <x:c r="H39" s="13" t="str">
        <x:v>Source + GLB/textures/config</x:v>
      </x:c>
      <x:c r="I39" s="13" t="str">
        <x:v>Baked ambient contribution + one live key shadow</x:v>
      </x:c>
      <x:c r="J39" s="13" t="str">
        <x:v>Original production requirement</x:v>
      </x:c>
      <x:c r="K39" s="13" t="n">
        <x:f>IF(C39="Per leader",Summary!$B$5,IF(C39="Per arena",Summary!$B$6,1))</x:f>
        <x:v>1</x:v>
      </x:c>
      <x:c r="L39" s="13" t="n">
        <x:f>E39*K39</x:f>
        <x:v>1</x:v>
      </x:c>
    </x:row>
    <x:row r="40" ht="72" customHeight="1">
      <x:c r="A40" s="13" t="str">
        <x:v>ARENA-CROWD</x:v>
      </x:c>
      <x:c r="B40" s="13" t="str">
        <x:v>Background delegates</x:v>
      </x:c>
      <x:c r="C40" s="13" t="str">
        <x:v>Per arena</x:v>
      </x:c>
      <x:c r="D40" s="13" t="str">
        <x:v>V1</x:v>
      </x:c>
      <x:c r="E40" s="24" t="n">
        <x:v>1</x:v>
      </x:c>
      <x:c r="F40" s="13" t="str">
        <x:v>Environment artist</x:v>
      </x:c>
      <x:c r="G40" s="13" t="str">
        <x:v>Not started</x:v>
      </x:c>
      <x:c r="H40" s="13" t="str">
        <x:v>Source + GLB/textures/config</x:v>
      </x:c>
      <x:c r="I40" s="13" t="str">
        <x:v>Instanced low-detail silhouettes; no individual public figures</x:v>
      </x:c>
      <x:c r="J40" s="13" t="str">
        <x:v>Original production requirement</x:v>
      </x:c>
      <x:c r="K40" s="13" t="n">
        <x:f>IF(C40="Per leader",Summary!$B$5,IF(C40="Per arena",Summary!$B$6,1))</x:f>
        <x:v>1</x:v>
      </x:c>
      <x:c r="L40" s="13" t="n">
        <x:f>E40*K40</x:f>
        <x:v>1</x:v>
      </x:c>
    </x:row>
    <x:row r="41" ht="72" customHeight="1">
      <x:c r="A41" s="13" t="str">
        <x:v>ARENA-SCREEN</x:v>
      </x:c>
      <x:c r="B41" s="13" t="str">
        <x:v>Arena display graphics</x:v>
      </x:c>
      <x:c r="C41" s="13" t="str">
        <x:v>Per arena</x:v>
      </x:c>
      <x:c r="D41" s="13" t="str">
        <x:v>V1</x:v>
      </x:c>
      <x:c r="E41" s="24" t="n">
        <x:v>1</x:v>
      </x:c>
      <x:c r="F41" s="13" t="str">
        <x:v>Environment artist</x:v>
      </x:c>
      <x:c r="G41" s="13" t="str">
        <x:v>Not started</x:v>
      </x:c>
      <x:c r="H41" s="13" t="str">
        <x:v>Source + GLB/textures/config</x:v>
      </x:c>
      <x:c r="I41" s="13" t="str">
        <x:v>Original summit emblem and match data, not real news graphics</x:v>
      </x:c>
      <x:c r="J41" s="13" t="str">
        <x:v>Original production requirement</x:v>
      </x:c>
      <x:c r="K41" s="13" t="n">
        <x:f>IF(C41="Per leader",Summary!$B$5,IF(C41="Per arena",Summary!$B$6,1))</x:f>
        <x:v>1</x:v>
      </x:c>
      <x:c r="L41" s="13" t="n">
        <x:f>E41*K41</x:f>
        <x:v>1</x:v>
      </x:c>
    </x:row>
    <x:row r="42" ht="72" customHeight="1">
      <x:c r="A42" s="13" t="str">
        <x:v>ARENA-VOLUME</x:v>
      </x:c>
      <x:c r="B42" s="13" t="str">
        <x:v>Fog and atmosphere</x:v>
      </x:c>
      <x:c r="C42" s="13" t="str">
        <x:v>Per arena</x:v>
      </x:c>
      <x:c r="D42" s="13" t="str">
        <x:v>V1</x:v>
      </x:c>
      <x:c r="E42" s="24" t="n">
        <x:v>1</x:v>
      </x:c>
      <x:c r="F42" s="13" t="str">
        <x:v>Environment artist</x:v>
      </x:c>
      <x:c r="G42" s="13" t="str">
        <x:v>Not started</x:v>
      </x:c>
      <x:c r="H42" s="13" t="str">
        <x:v>Source + GLB/textures/config</x:v>
      </x:c>
      <x:c r="I42" s="13" t="str">
        <x:v>Shallow depth layers; removable on low tier</x:v>
      </x:c>
      <x:c r="J42" s="13" t="str">
        <x:v>Original production requirement</x:v>
      </x:c>
      <x:c r="K42" s="13" t="n">
        <x:f>IF(C42="Per leader",Summary!$B$5,IF(C42="Per arena",Summary!$B$6,1))</x:f>
        <x:v>1</x:v>
      </x:c>
      <x:c r="L42" s="13" t="n">
        <x:f>E42*K42</x:f>
        <x:v>1</x:v>
      </x:c>
    </x:row>
    <x:row r="43" ht="72" customHeight="1">
      <x:c r="A43" s="13" t="str">
        <x:v>ARENA-CAMERA</x:v>
      </x:c>
      <x:c r="B43" s="13" t="str">
        <x:v>Camera anchor set</x:v>
      </x:c>
      <x:c r="C43" s="13" t="str">
        <x:v>Per arena</x:v>
      </x:c>
      <x:c r="D43" s="13" t="str">
        <x:v>V1</x:v>
      </x:c>
      <x:c r="E43" s="24" t="n">
        <x:v>1</x:v>
      </x:c>
      <x:c r="F43" s="13" t="str">
        <x:v>Environment artist</x:v>
      </x:c>
      <x:c r="G43" s="13" t="str">
        <x:v>Not started</x:v>
      </x:c>
      <x:c r="H43" s="13" t="str">
        <x:v>Source + GLB/textures/config</x:v>
      </x:c>
      <x:c r="I43" s="13" t="str">
        <x:v>Gameplay, intro, replay and portrait-safe composition</x:v>
      </x:c>
      <x:c r="J43" s="13" t="str">
        <x:v>Original production requirement</x:v>
      </x:c>
      <x:c r="K43" s="13" t="n">
        <x:f>IF(C43="Per leader",Summary!$B$5,IF(C43="Per arena",Summary!$B$6,1))</x:f>
        <x:v>1</x:v>
      </x:c>
      <x:c r="L43" s="13" t="n">
        <x:f>E43*K43</x:f>
        <x:v>1</x:v>
      </x:c>
    </x:row>
    <x:row r="44" ht="72" customHeight="1">
      <x:c r="A44" s="13" t="str">
        <x:v>ARENA-COLLIDER</x:v>
      </x:c>
      <x:c r="B44" s="13" t="str">
        <x:v>Arena gameplay bounds</x:v>
      </x:c>
      <x:c r="C44" s="13" t="str">
        <x:v>Per arena</x:v>
      </x:c>
      <x:c r="D44" s="13" t="str">
        <x:v>V1</x:v>
      </x:c>
      <x:c r="E44" s="24" t="n">
        <x:v>1</x:v>
      </x:c>
      <x:c r="F44" s="13" t="str">
        <x:v>Environment artist</x:v>
      </x:c>
      <x:c r="G44" s="13" t="str">
        <x:v>Not started</x:v>
      </x:c>
      <x:c r="H44" s="13" t="str">
        <x:v>Source + GLB/textures/config</x:v>
      </x:c>
      <x:c r="I44" s="13" t="str">
        <x:v>14m playable span; cosmetic depth unconstrained by combat</x:v>
      </x:c>
      <x:c r="J44" s="13" t="str">
        <x:v>Original production requirement</x:v>
      </x:c>
      <x:c r="K44" s="13" t="n">
        <x:f>IF(C44="Per leader",Summary!$B$5,IF(C44="Per arena",Summary!$B$6,1))</x:f>
        <x:v>1</x:v>
      </x:c>
      <x:c r="L44" s="13" t="n">
        <x:f>E44*K44</x:f>
        <x:v>1</x:v>
      </x:c>
    </x:row>
    <x:row r="45" ht="72" customHeight="1">
      <x:c r="A45" s="13" t="str">
        <x:v>ARENA-LOD</x:v>
      </x:c>
      <x:c r="B45" s="13" t="str">
        <x:v>Arena LOD/lightmap set</x:v>
      </x:c>
      <x:c r="C45" s="13" t="str">
        <x:v>Per arena</x:v>
      </x:c>
      <x:c r="D45" s="13" t="str">
        <x:v>V1</x:v>
      </x:c>
      <x:c r="E45" s="24" t="n">
        <x:v>1</x:v>
      </x:c>
      <x:c r="F45" s="13" t="str">
        <x:v>Environment artist</x:v>
      </x:c>
      <x:c r="G45" s="13" t="str">
        <x:v>Not started</x:v>
      </x:c>
      <x:c r="H45" s="13" t="str">
        <x:v>Source + GLB/textures/config</x:v>
      </x:c>
      <x:c r="I45" s="13" t="str">
        <x:v>Standard arena &lt;=250k visible tris; &lt;=80 main-pass draws</x:v>
      </x:c>
      <x:c r="J45" s="13" t="str">
        <x:v>Original production requirement</x:v>
      </x:c>
      <x:c r="K45" s="13" t="n">
        <x:f>IF(C45="Per leader",Summary!$B$5,IF(C45="Per arena",Summary!$B$6,1))</x:f>
        <x:v>1</x:v>
      </x:c>
      <x:c r="L45" s="13" t="n">
        <x:f>E45*K45</x:f>
        <x:v>1</x:v>
      </x:c>
    </x:row>
    <x:row r="46" ht="72" customHeight="1">
      <x:c r="A46" s="13" t="str">
        <x:v>ARENA-EXPORT</x:v>
      </x:c>
      <x:c r="B46" s="13" t="str">
        <x:v>Arena runtime bundle</x:v>
      </x:c>
      <x:c r="C46" s="13" t="str">
        <x:v>Per arena</x:v>
      </x:c>
      <x:c r="D46" s="13" t="str">
        <x:v>V1</x:v>
      </x:c>
      <x:c r="E46" s="24" t="n">
        <x:v>1</x:v>
      </x:c>
      <x:c r="F46" s="13" t="str">
        <x:v>Environment artist</x:v>
      </x:c>
      <x:c r="G46" s="13" t="str">
        <x:v>Not started</x:v>
      </x:c>
      <x:c r="H46" s="13" t="str">
        <x:v>Source + GLB/textures/config</x:v>
      </x:c>
      <x:c r="I46" s="13" t="str">
        <x:v>&lt;=12 MiB standard arena transfer target</x:v>
      </x:c>
      <x:c r="J46" s="13" t="str">
        <x:v>Original production requirement</x:v>
      </x:c>
      <x:c r="K46" s="13" t="n">
        <x:f>IF(C46="Per leader",Summary!$B$5,IF(C46="Per arena",Summary!$B$6,1))</x:f>
        <x:v>1</x:v>
      </x:c>
      <x:c r="L46" s="13" t="n">
        <x:f>E46*K46</x:f>
        <x:v>1</x:v>
      </x:c>
    </x:row>
    <x:row r="47" ht="72" customHeight="1">
      <x:c r="A47" s="13" t="str">
        <x:v>VFX-HIT</x:v>
      </x:c>
      <x:c r="B47" s="13" t="str">
        <x:v>Impact effect</x:v>
      </x:c>
      <x:c r="C47" s="13" t="str">
        <x:v>Global</x:v>
      </x:c>
      <x:c r="D47" s="13" t="str">
        <x:v>V1</x:v>
      </x:c>
      <x:c r="E47" s="24" t="n">
        <x:v>1</x:v>
      </x:c>
      <x:c r="F47" s="13" t="str">
        <x:v>VFX artist</x:v>
      </x:c>
      <x:c r="G47" s="13" t="str">
        <x:v>Not started</x:v>
      </x:c>
      <x:c r="H47" s="13" t="str">
        <x:v>Effect prefab + textures + cues</x:v>
      </x:c>
      <x:c r="I47" s="13" t="str">
        <x:v>Short dust/sweat-like mist; no gore</x:v>
      </x:c>
      <x:c r="J47" s="13" t="str">
        <x:v>Original production requirement</x:v>
      </x:c>
      <x:c r="K47" s="13" t="n">
        <x:f>IF(C47="Per leader",Summary!$B$5,IF(C47="Per arena",Summary!$B$6,1))</x:f>
        <x:v>1</x:v>
      </x:c>
      <x:c r="L47" s="13" t="n">
        <x:f>E47*K47</x:f>
        <x:v>1</x:v>
      </x:c>
    </x:row>
    <x:row r="48" ht="72" customHeight="1">
      <x:c r="A48" s="13" t="str">
        <x:v>VFX-BLOCK</x:v>
      </x:c>
      <x:c r="B48" s="13" t="str">
        <x:v>Block effect</x:v>
      </x:c>
      <x:c r="C48" s="13" t="str">
        <x:v>Global</x:v>
      </x:c>
      <x:c r="D48" s="13" t="str">
        <x:v>V1</x:v>
      </x:c>
      <x:c r="E48" s="24" t="n">
        <x:v>1</x:v>
      </x:c>
      <x:c r="F48" s="13" t="str">
        <x:v>VFX artist</x:v>
      </x:c>
      <x:c r="G48" s="13" t="str">
        <x:v>Not started</x:v>
      </x:c>
      <x:c r="H48" s="13" t="str">
        <x:v>Effect prefab + textures + cues</x:v>
      </x:c>
      <x:c r="I48" s="13" t="str">
        <x:v>Distinct shape plus sound, not colour alone</x:v>
      </x:c>
      <x:c r="J48" s="13" t="str">
        <x:v>Original production requirement</x:v>
      </x:c>
      <x:c r="K48" s="13" t="n">
        <x:f>IF(C48="Per leader",Summary!$B$5,IF(C48="Per arena",Summary!$B$6,1))</x:f>
        <x:v>1</x:v>
      </x:c>
      <x:c r="L48" s="13" t="n">
        <x:f>E48*K48</x:f>
        <x:v>1</x:v>
      </x:c>
    </x:row>
    <x:row r="49" ht="72" customHeight="1">
      <x:c r="A49" s="13" t="str">
        <x:v>VFX-PARRY</x:v>
      </x:c>
      <x:c r="B49" s="13" t="str">
        <x:v>Veto parry effect</x:v>
      </x:c>
      <x:c r="C49" s="13" t="str">
        <x:v>Global</x:v>
      </x:c>
      <x:c r="D49" s="13" t="str">
        <x:v>V1</x:v>
      </x:c>
      <x:c r="E49" s="24" t="n">
        <x:v>1</x:v>
      </x:c>
      <x:c r="F49" s="13" t="str">
        <x:v>VFX artist</x:v>
      </x:c>
      <x:c r="G49" s="13" t="str">
        <x:v>Not started</x:v>
      </x:c>
      <x:c r="H49" s="13" t="str">
        <x:v>Effect prefab + textures + cues</x:v>
      </x:c>
      <x:c r="I49" s="13" t="str">
        <x:v>Readable ring; no full-screen strobe</x:v>
      </x:c>
      <x:c r="J49" s="13" t="str">
        <x:v>Original production requirement</x:v>
      </x:c>
      <x:c r="K49" s="13" t="n">
        <x:f>IF(C49="Per leader",Summary!$B$5,IF(C49="Per arena",Summary!$B$6,1))</x:f>
        <x:v>1</x:v>
      </x:c>
      <x:c r="L49" s="13" t="n">
        <x:f>E49*K49</x:f>
        <x:v>1</x:v>
      </x:c>
    </x:row>
    <x:row r="50" ht="72" customHeight="1">
      <x:c r="A50" s="13" t="str">
        <x:v>VFX-PAPER</x:v>
      </x:c>
      <x:c r="B50" s="13" t="str">
        <x:v>Paperwork special</x:v>
      </x:c>
      <x:c r="C50" s="13" t="str">
        <x:v>Global</x:v>
      </x:c>
      <x:c r="D50" s="13" t="str">
        <x:v>V1</x:v>
      </x:c>
      <x:c r="E50" s="24" t="n">
        <x:v>1</x:v>
      </x:c>
      <x:c r="F50" s="13" t="str">
        <x:v>VFX artist</x:v>
      </x:c>
      <x:c r="G50" s="13" t="str">
        <x:v>Not started</x:v>
      </x:c>
      <x:c r="H50" s="13" t="str">
        <x:v>Effect prefab + textures + cues</x:v>
      </x:c>
      <x:c r="I50" s="13" t="str">
        <x:v>Pooled paper cards; no uncontrolled rigid bodies</x:v>
      </x:c>
      <x:c r="J50" s="13" t="str">
        <x:v>Original production requirement</x:v>
      </x:c>
      <x:c r="K50" s="13" t="n">
        <x:f>IF(C50="Per leader",Summary!$B$5,IF(C50="Per arena",Summary!$B$6,1))</x:f>
        <x:v>1</x:v>
      </x:c>
      <x:c r="L50" s="13" t="n">
        <x:f>E50*K50</x:f>
        <x:v>1</x:v>
      </x:c>
    </x:row>
    <x:row r="51" ht="72" customHeight="1">
      <x:c r="A51" s="13" t="str">
        <x:v>VFX-SHIELD</x:v>
      </x:c>
      <x:c r="B51" s="13" t="str">
        <x:v>Diplomatic shield</x:v>
      </x:c>
      <x:c r="C51" s="13" t="str">
        <x:v>Global</x:v>
      </x:c>
      <x:c r="D51" s="13" t="str">
        <x:v>V1</x:v>
      </x:c>
      <x:c r="E51" s="24" t="n">
        <x:v>1</x:v>
      </x:c>
      <x:c r="F51" s="13" t="str">
        <x:v>VFX artist</x:v>
      </x:c>
      <x:c r="G51" s="13" t="str">
        <x:v>Not started</x:v>
      </x:c>
      <x:c r="H51" s="13" t="str">
        <x:v>Effect prefab + textures + cues</x:v>
      </x:c>
      <x:c r="I51" s="13" t="str">
        <x:v>Visibly bounded lifetime; no permanent obstruction</x:v>
      </x:c>
      <x:c r="J51" s="13" t="str">
        <x:v>Original production requirement</x:v>
      </x:c>
      <x:c r="K51" s="13" t="n">
        <x:f>IF(C51="Per leader",Summary!$B$5,IF(C51="Per arena",Summary!$B$6,1))</x:f>
        <x:v>1</x:v>
      </x:c>
      <x:c r="L51" s="13" t="n">
        <x:f>E51*K51</x:f>
        <x:v>1</x:v>
      </x:c>
    </x:row>
    <x:row r="52" ht="72" customHeight="1">
      <x:c r="A52" s="13" t="str">
        <x:v>VFX-DEBRIS</x:v>
      </x:c>
      <x:c r="B52" s="13" t="str">
        <x:v>Podium debris</x:v>
      </x:c>
      <x:c r="C52" s="13" t="str">
        <x:v>Global</x:v>
      </x:c>
      <x:c r="D52" s="13" t="str">
        <x:v>V1</x:v>
      </x:c>
      <x:c r="E52" s="24" t="n">
        <x:v>1</x:v>
      </x:c>
      <x:c r="F52" s="13" t="str">
        <x:v>VFX artist</x:v>
      </x:c>
      <x:c r="G52" s="13" t="str">
        <x:v>Not started</x:v>
      </x:c>
      <x:c r="H52" s="13" t="str">
        <x:v>Effect prefab + textures + cues</x:v>
      </x:c>
      <x:c r="I52" s="13" t="str">
        <x:v>Fixed piece cap and despawn lifetime</x:v>
      </x:c>
      <x:c r="J52" s="13" t="str">
        <x:v>Original production requirement</x:v>
      </x:c>
      <x:c r="K52" s="13" t="n">
        <x:f>IF(C52="Per leader",Summary!$B$5,IF(C52="Per arena",Summary!$B$6,1))</x:f>
        <x:v>1</x:v>
      </x:c>
      <x:c r="L52" s="13" t="n">
        <x:f>E52*K52</x:f>
        <x:v>1</x:v>
      </x:c>
    </x:row>
    <x:row r="53" ht="72" customHeight="1">
      <x:c r="A53" s="13" t="str">
        <x:v>VFX-TRAIL</x:v>
      </x:c>
      <x:c r="B53" s="13" t="str">
        <x:v>Motion accents</x:v>
      </x:c>
      <x:c r="C53" s="13" t="str">
        <x:v>Global</x:v>
      </x:c>
      <x:c r="D53" s="13" t="str">
        <x:v>V1</x:v>
      </x:c>
      <x:c r="E53" s="24" t="n">
        <x:v>1</x:v>
      </x:c>
      <x:c r="F53" s="13" t="str">
        <x:v>VFX artist</x:v>
      </x:c>
      <x:c r="G53" s="13" t="str">
        <x:v>Not started</x:v>
      </x:c>
      <x:c r="H53" s="13" t="str">
        <x:v>Effect prefab + textures + cues</x:v>
      </x:c>
      <x:c r="I53" s="13" t="str">
        <x:v>Subtle optional trails; no hiding attack startup</x:v>
      </x:c>
      <x:c r="J53" s="13" t="str">
        <x:v>Original production requirement</x:v>
      </x:c>
      <x:c r="K53" s="13" t="n">
        <x:f>IF(C53="Per leader",Summary!$B$5,IF(C53="Per arena",Summary!$B$6,1))</x:f>
        <x:v>1</x:v>
      </x:c>
      <x:c r="L53" s="13" t="n">
        <x:f>E53*K53</x:f>
        <x:v>1</x:v>
      </x:c>
    </x:row>
    <x:row r="54" ht="72" customHeight="1">
      <x:c r="A54" s="13" t="str">
        <x:v>VFX-KO</x:v>
      </x:c>
      <x:c r="B54" s="13" t="str">
        <x:v>Round-end effect</x:v>
      </x:c>
      <x:c r="C54" s="13" t="str">
        <x:v>Global</x:v>
      </x:c>
      <x:c r="D54" s="13" t="str">
        <x:v>V1</x:v>
      </x:c>
      <x:c r="E54" s="24" t="n">
        <x:v>1</x:v>
      </x:c>
      <x:c r="F54" s="13" t="str">
        <x:v>VFX artist</x:v>
      </x:c>
      <x:c r="G54" s="13" t="str">
        <x:v>Not started</x:v>
      </x:c>
      <x:c r="H54" s="13" t="str">
        <x:v>Effect prefab + textures + cues</x:v>
      </x:c>
      <x:c r="I54" s="13" t="str">
        <x:v>Brief desaturation optional; recoverable theatrical defeat</x:v>
      </x:c>
      <x:c r="J54" s="13" t="str">
        <x:v>Original production requirement</x:v>
      </x:c>
      <x:c r="K54" s="13" t="n">
        <x:f>IF(C54="Per leader",Summary!$B$5,IF(C54="Per arena",Summary!$B$6,1))</x:f>
        <x:v>1</x:v>
      </x:c>
      <x:c r="L54" s="13" t="n">
        <x:f>E54*K54</x:f>
        <x:v>1</x:v>
      </x:c>
    </x:row>
    <x:row r="55" ht="72" customHeight="1">
      <x:c r="A55" s="13" t="str">
        <x:v>SFX-IMPACT</x:v>
      </x:c>
      <x:c r="B55" s="13" t="str">
        <x:v>Punch/kick body impacts</x:v>
      </x:c>
      <x:c r="C55" s="13" t="str">
        <x:v>Global</x:v>
      </x:c>
      <x:c r="D55" s="13" t="str">
        <x:v>V1</x:v>
      </x:c>
      <x:c r="E55" s="24" t="n">
        <x:v>12</x:v>
      </x:c>
      <x:c r="F55" s="13" t="str">
        <x:v>Sound designer</x:v>
      </x:c>
      <x:c r="G55" s="13" t="str">
        <x:v>Not started</x:v>
      </x:c>
      <x:c r="H55" s="13" t="str">
        <x:v>48kHz WAV masters + web encodes</x:v>
      </x:c>
      <x:c r="I55" s="13" t="str">
        <x:v>Variation without clipping; licence cleared; separate loudness buses.</x:v>
      </x:c>
      <x:c r="J55" s="13" t="str">
        <x:v>Original production requirement</x:v>
      </x:c>
      <x:c r="K55" s="13" t="n">
        <x:f>IF(C55="Per leader",Summary!$B$5,IF(C55="Per arena",Summary!$B$6,1))</x:f>
        <x:v>1</x:v>
      </x:c>
      <x:c r="L55" s="13" t="n">
        <x:f>E55*K55</x:f>
        <x:v>12</x:v>
      </x:c>
    </x:row>
    <x:row r="56" ht="72" customHeight="1">
      <x:c r="A56" s="13" t="str">
        <x:v>SFX-BLOCK</x:v>
      </x:c>
      <x:c r="B56" s="13" t="str">
        <x:v>Block/parry impacts</x:v>
      </x:c>
      <x:c r="C56" s="13" t="str">
        <x:v>Global</x:v>
      </x:c>
      <x:c r="D56" s="13" t="str">
        <x:v>V1</x:v>
      </x:c>
      <x:c r="E56" s="24" t="n">
        <x:v>8</x:v>
      </x:c>
      <x:c r="F56" s="13" t="str">
        <x:v>Sound designer</x:v>
      </x:c>
      <x:c r="G56" s="13" t="str">
        <x:v>Not started</x:v>
      </x:c>
      <x:c r="H56" s="13" t="str">
        <x:v>48kHz WAV masters + web encodes</x:v>
      </x:c>
      <x:c r="I56" s="13" t="str">
        <x:v>Variation without clipping; licence cleared; separate loudness buses.</x:v>
      </x:c>
      <x:c r="J56" s="13" t="str">
        <x:v>Original production requirement</x:v>
      </x:c>
      <x:c r="K56" s="13" t="n">
        <x:f>IF(C56="Per leader",Summary!$B$5,IF(C56="Per arena",Summary!$B$6,1))</x:f>
        <x:v>1</x:v>
      </x:c>
      <x:c r="L56" s="13" t="n">
        <x:f>E56*K56</x:f>
        <x:v>8</x:v>
      </x:c>
    </x:row>
    <x:row r="57" ht="72" customHeight="1">
      <x:c r="A57" s="13" t="str">
        <x:v>SFX-STEP</x:v>
      </x:c>
      <x:c r="B57" s="13" t="str">
        <x:v>Footsteps and shoe pivots</x:v>
      </x:c>
      <x:c r="C57" s="13" t="str">
        <x:v>Global</x:v>
      </x:c>
      <x:c r="D57" s="13" t="str">
        <x:v>V1</x:v>
      </x:c>
      <x:c r="E57" s="24" t="n">
        <x:v>12</x:v>
      </x:c>
      <x:c r="F57" s="13" t="str">
        <x:v>Sound designer</x:v>
      </x:c>
      <x:c r="G57" s="13" t="str">
        <x:v>Not started</x:v>
      </x:c>
      <x:c r="H57" s="13" t="str">
        <x:v>48kHz WAV masters + web encodes</x:v>
      </x:c>
      <x:c r="I57" s="13" t="str">
        <x:v>Variation without clipping; licence cleared; separate loudness buses.</x:v>
      </x:c>
      <x:c r="J57" s="13" t="str">
        <x:v>Original production requirement</x:v>
      </x:c>
      <x:c r="K57" s="13" t="n">
        <x:f>IF(C57="Per leader",Summary!$B$5,IF(C57="Per arena",Summary!$B$6,1))</x:f>
        <x:v>1</x:v>
      </x:c>
      <x:c r="L57" s="13" t="n">
        <x:f>E57*K57</x:f>
        <x:v>12</x:v>
      </x:c>
    </x:row>
    <x:row r="58" ht="72" customHeight="1">
      <x:c r="A58" s="13" t="str">
        <x:v>SFX-CLOTH</x:v>
      </x:c>
      <x:c r="B58" s="13" t="str">
        <x:v>Cloth/air movement</x:v>
      </x:c>
      <x:c r="C58" s="13" t="str">
        <x:v>Global</x:v>
      </x:c>
      <x:c r="D58" s="13" t="str">
        <x:v>V1</x:v>
      </x:c>
      <x:c r="E58" s="24" t="n">
        <x:v>12</x:v>
      </x:c>
      <x:c r="F58" s="13" t="str">
        <x:v>Sound designer</x:v>
      </x:c>
      <x:c r="G58" s="13" t="str">
        <x:v>Not started</x:v>
      </x:c>
      <x:c r="H58" s="13" t="str">
        <x:v>48kHz WAV masters + web encodes</x:v>
      </x:c>
      <x:c r="I58" s="13" t="str">
        <x:v>Variation without clipping; licence cleared; separate loudness buses.</x:v>
      </x:c>
      <x:c r="J58" s="13" t="str">
        <x:v>Original production requirement</x:v>
      </x:c>
      <x:c r="K58" s="13" t="n">
        <x:f>IF(C58="Per leader",Summary!$B$5,IF(C58="Per arena",Summary!$B$6,1))</x:f>
        <x:v>1</x:v>
      </x:c>
      <x:c r="L58" s="13" t="n">
        <x:f>E58*K58</x:f>
        <x:v>12</x:v>
      </x:c>
    </x:row>
    <x:row r="59" ht="72" customHeight="1">
      <x:c r="A59" s="13" t="str">
        <x:v>SFX-ARENA</x:v>
      </x:c>
      <x:c r="B59" s="13" t="str">
        <x:v>Summit ambience layers</x:v>
      </x:c>
      <x:c r="C59" s="13" t="str">
        <x:v>Global</x:v>
      </x:c>
      <x:c r="D59" s="13" t="str">
        <x:v>V1</x:v>
      </x:c>
      <x:c r="E59" s="24" t="n">
        <x:v>4</x:v>
      </x:c>
      <x:c r="F59" s="13" t="str">
        <x:v>Sound designer</x:v>
      </x:c>
      <x:c r="G59" s="13" t="str">
        <x:v>Not started</x:v>
      </x:c>
      <x:c r="H59" s="13" t="str">
        <x:v>48kHz WAV masters + web encodes</x:v>
      </x:c>
      <x:c r="I59" s="13" t="str">
        <x:v>Variation without clipping; licence cleared; separate loudness buses.</x:v>
      </x:c>
      <x:c r="J59" s="13" t="str">
        <x:v>Original production requirement</x:v>
      </x:c>
      <x:c r="K59" s="13" t="n">
        <x:f>IF(C59="Per leader",Summary!$B$5,IF(C59="Per arena",Summary!$B$6,1))</x:f>
        <x:v>1</x:v>
      </x:c>
      <x:c r="L59" s="13" t="n">
        <x:f>E59*K59</x:f>
        <x:v>4</x:v>
      </x:c>
    </x:row>
    <x:row r="60" ht="72" customHeight="1">
      <x:c r="A60" s="13" t="str">
        <x:v>SFX-ANNOUNCER</x:v>
      </x:c>
      <x:c r="B60" s="13" t="str">
        <x:v>Original announcer lines</x:v>
      </x:c>
      <x:c r="C60" s="13" t="str">
        <x:v>Global</x:v>
      </x:c>
      <x:c r="D60" s="13" t="str">
        <x:v>V1</x:v>
      </x:c>
      <x:c r="E60" s="24" t="n">
        <x:v>12</x:v>
      </x:c>
      <x:c r="F60" s="13" t="str">
        <x:v>Sound designer</x:v>
      </x:c>
      <x:c r="G60" s="13" t="str">
        <x:v>Not started</x:v>
      </x:c>
      <x:c r="H60" s="13" t="str">
        <x:v>48kHz WAV masters + web encodes</x:v>
      </x:c>
      <x:c r="I60" s="13" t="str">
        <x:v>Variation without clipping; licence cleared; separate loudness buses.</x:v>
      </x:c>
      <x:c r="J60" s="13" t="str">
        <x:v>Original production requirement</x:v>
      </x:c>
      <x:c r="K60" s="13" t="n">
        <x:f>IF(C60="Per leader",Summary!$B$5,IF(C60="Per arena",Summary!$B$6,1))</x:f>
        <x:v>1</x:v>
      </x:c>
      <x:c r="L60" s="13" t="n">
        <x:f>E60*K60</x:f>
        <x:v>12</x:v>
      </x:c>
    </x:row>
    <x:row r="61" ht="72" customHeight="1">
      <x:c r="A61" s="13" t="str">
        <x:v>SFX-SPECIAL</x:v>
      </x:c>
      <x:c r="B61" s="13" t="str">
        <x:v>Special-move audio sets</x:v>
      </x:c>
      <x:c r="C61" s="13" t="str">
        <x:v>Global</x:v>
      </x:c>
      <x:c r="D61" s="13" t="str">
        <x:v>V1</x:v>
      </x:c>
      <x:c r="E61" s="24" t="n">
        <x:v>6</x:v>
      </x:c>
      <x:c r="F61" s="13" t="str">
        <x:v>Sound designer</x:v>
      </x:c>
      <x:c r="G61" s="13" t="str">
        <x:v>Not started</x:v>
      </x:c>
      <x:c r="H61" s="13" t="str">
        <x:v>48kHz WAV masters + web encodes</x:v>
      </x:c>
      <x:c r="I61" s="13" t="str">
        <x:v>Variation without clipping; licence cleared; separate loudness buses.</x:v>
      </x:c>
      <x:c r="J61" s="13" t="str">
        <x:v>Original production requirement</x:v>
      </x:c>
      <x:c r="K61" s="13" t="n">
        <x:f>IF(C61="Per leader",Summary!$B$5,IF(C61="Per arena",Summary!$B$6,1))</x:f>
        <x:v>1</x:v>
      </x:c>
      <x:c r="L61" s="13" t="n">
        <x:f>E61*K61</x:f>
        <x:v>6</x:v>
      </x:c>
    </x:row>
    <x:row r="62" ht="72" customHeight="1">
      <x:c r="A62" s="13" t="str">
        <x:v>SFX-UI</x:v>
      </x:c>
      <x:c r="B62" s="13" t="str">
        <x:v>UI/menu sounds</x:v>
      </x:c>
      <x:c r="C62" s="13" t="str">
        <x:v>Global</x:v>
      </x:c>
      <x:c r="D62" s="13" t="str">
        <x:v>V1</x:v>
      </x:c>
      <x:c r="E62" s="24" t="n">
        <x:v>10</x:v>
      </x:c>
      <x:c r="F62" s="13" t="str">
        <x:v>Sound designer</x:v>
      </x:c>
      <x:c r="G62" s="13" t="str">
        <x:v>Not started</x:v>
      </x:c>
      <x:c r="H62" s="13" t="str">
        <x:v>48kHz WAV masters + web encodes</x:v>
      </x:c>
      <x:c r="I62" s="13" t="str">
        <x:v>Variation without clipping; licence cleared; separate loudness buses.</x:v>
      </x:c>
      <x:c r="J62" s="13" t="str">
        <x:v>Original production requirement</x:v>
      </x:c>
      <x:c r="K62" s="13" t="n">
        <x:f>IF(C62="Per leader",Summary!$B$5,IF(C62="Per arena",Summary!$B$6,1))</x:f>
        <x:v>1</x:v>
      </x:c>
      <x:c r="L62" s="13" t="n">
        <x:f>E62*K62</x:f>
        <x:v>10</x:v>
      </x:c>
    </x:row>
    <x:row r="63" ht="72" customHeight="1">
      <x:c r="A63" s="13" t="str">
        <x:v>SFX-MUSIC</x:v>
      </x:c>
      <x:c r="B63" s="13" t="str">
        <x:v>Original music stems</x:v>
      </x:c>
      <x:c r="C63" s="13" t="str">
        <x:v>Global</x:v>
      </x:c>
      <x:c r="D63" s="13" t="str">
        <x:v>V1</x:v>
      </x:c>
      <x:c r="E63" s="24" t="n">
        <x:v>4</x:v>
      </x:c>
      <x:c r="F63" s="13" t="str">
        <x:v>Sound designer</x:v>
      </x:c>
      <x:c r="G63" s="13" t="str">
        <x:v>Not started</x:v>
      </x:c>
      <x:c r="H63" s="13" t="str">
        <x:v>48kHz WAV masters + web encodes</x:v>
      </x:c>
      <x:c r="I63" s="13" t="str">
        <x:v>Variation without clipping; licence cleared; separate loudness buses.</x:v>
      </x:c>
      <x:c r="J63" s="13" t="str">
        <x:v>Original production requirement</x:v>
      </x:c>
      <x:c r="K63" s="13" t="n">
        <x:f>IF(C63="Per leader",Summary!$B$5,IF(C63="Per arena",Summary!$B$6,1))</x:f>
        <x:v>1</x:v>
      </x:c>
      <x:c r="L63" s="13" t="n">
        <x:f>E63*K63</x:f>
        <x:v>4</x:v>
      </x:c>
    </x:row>
    <x:row r="64" ht="72" customHeight="1">
      <x:c r="A64" s="13" t="str">
        <x:v>UI-LOGO</x:v>
      </x:c>
      <x:c r="B64" s="13" t="str">
        <x:v>Original Summit Showdown identity</x:v>
      </x:c>
      <x:c r="C64" s="13" t="str">
        <x:v>Global</x:v>
      </x:c>
      <x:c r="D64" s="13" t="str">
        <x:v>V1</x:v>
      </x:c>
      <x:c r="E64" s="24" t="n">
        <x:v>1</x:v>
      </x:c>
      <x:c r="F64" s="13" t="str">
        <x:v>Product/UI designer</x:v>
      </x:c>
      <x:c r="G64" s="13" t="str">
        <x:v>Not started</x:v>
      </x:c>
      <x:c r="H64" s="13" t="str">
        <x:v>SVG/WebP + source + UI specification</x:v>
      </x:c>
      <x:c r="I64" s="13" t="str">
        <x:v>Readable at capture size; keyboard accessible; no official branding; labels survive export.</x:v>
      </x:c>
      <x:c r="J64" s="13" t="str">
        <x:v>Original production requirement</x:v>
      </x:c>
      <x:c r="K64" s="13" t="n">
        <x:f>IF(C64="Per leader",Summary!$B$5,IF(C64="Per arena",Summary!$B$6,1))</x:f>
        <x:v>1</x:v>
      </x:c>
      <x:c r="L64" s="13" t="n">
        <x:f>E64*K64</x:f>
        <x:v>1</x:v>
      </x:c>
    </x:row>
    <x:row r="65" ht="72" customHeight="1">
      <x:c r="A65" s="13" t="str">
        <x:v>UI-ROSTER</x:v>
      </x:c>
      <x:c r="B65" s="13" t="str">
        <x:v>Roster cards and country labels</x:v>
      </x:c>
      <x:c r="C65" s="13" t="str">
        <x:v>Global</x:v>
      </x:c>
      <x:c r="D65" s="13" t="str">
        <x:v>V1</x:v>
      </x:c>
      <x:c r="E65" s="24" t="n">
        <x:v>1</x:v>
      </x:c>
      <x:c r="F65" s="13" t="str">
        <x:v>Product/UI designer</x:v>
      </x:c>
      <x:c r="G65" s="13" t="str">
        <x:v>Not started</x:v>
      </x:c>
      <x:c r="H65" s="13" t="str">
        <x:v>SVG/WebP + source + UI specification</x:v>
      </x:c>
      <x:c r="I65" s="13" t="str">
        <x:v>Readable at capture size; keyboard accessible; no official branding; labels survive export.</x:v>
      </x:c>
      <x:c r="J65" s="13" t="str">
        <x:v>Original production requirement</x:v>
      </x:c>
      <x:c r="K65" s="13" t="n">
        <x:f>IF(C65="Per leader",Summary!$B$5,IF(C65="Per arena",Summary!$B$6,1))</x:f>
        <x:v>1</x:v>
      </x:c>
      <x:c r="L65" s="13" t="n">
        <x:f>E65*K65</x:f>
        <x:v>1</x:v>
      </x:c>
    </x:row>
    <x:row r="66" ht="72" customHeight="1">
      <x:c r="A66" s="13" t="str">
        <x:v>UI-HUD</x:v>
      </x:c>
      <x:c r="B66" s="13" t="str">
        <x:v>Fight HUD and controller prompts</x:v>
      </x:c>
      <x:c r="C66" s="13" t="str">
        <x:v>Global</x:v>
      </x:c>
      <x:c r="D66" s="13" t="str">
        <x:v>V1</x:v>
      </x:c>
      <x:c r="E66" s="24" t="n">
        <x:v>1</x:v>
      </x:c>
      <x:c r="F66" s="13" t="str">
        <x:v>Product/UI designer</x:v>
      </x:c>
      <x:c r="G66" s="13" t="str">
        <x:v>Not started</x:v>
      </x:c>
      <x:c r="H66" s="13" t="str">
        <x:v>SVG/WebP + source + UI specification</x:v>
      </x:c>
      <x:c r="I66" s="13" t="str">
        <x:v>Readable at capture size; keyboard accessible; no official branding; labels survive export.</x:v>
      </x:c>
      <x:c r="J66" s="13" t="str">
        <x:v>Original production requirement</x:v>
      </x:c>
      <x:c r="K66" s="13" t="n">
        <x:f>IF(C66="Per leader",Summary!$B$5,IF(C66="Per arena",Summary!$B$6,1))</x:f>
        <x:v>1</x:v>
      </x:c>
      <x:c r="L66" s="13" t="n">
        <x:f>E66*K66</x:f>
        <x:v>1</x:v>
      </x:c>
    </x:row>
    <x:row r="67" ht="72" customHeight="1">
      <x:c r="A67" s="13" t="str">
        <x:v>UI-TELEMETRY</x:v>
      </x:c>
      <x:c r="B67" s="13" t="str">
        <x:v>AI Cam overlays</x:v>
      </x:c>
      <x:c r="C67" s="13" t="str">
        <x:v>Global</x:v>
      </x:c>
      <x:c r="D67" s="13" t="str">
        <x:v>V1</x:v>
      </x:c>
      <x:c r="E67" s="24" t="n">
        <x:v>1</x:v>
      </x:c>
      <x:c r="F67" s="13" t="str">
        <x:v>Product/UI designer</x:v>
      </x:c>
      <x:c r="G67" s="13" t="str">
        <x:v>Not started</x:v>
      </x:c>
      <x:c r="H67" s="13" t="str">
        <x:v>SVG/WebP + source + UI specification</x:v>
      </x:c>
      <x:c r="I67" s="13" t="str">
        <x:v>Readable at capture size; keyboard accessible; no official branding; labels survive export.</x:v>
      </x:c>
      <x:c r="J67" s="13" t="str">
        <x:v>Original production requirement</x:v>
      </x:c>
      <x:c r="K67" s="13" t="n">
        <x:f>IF(C67="Per leader",Summary!$B$5,IF(C67="Per arena",Summary!$B$6,1))</x:f>
        <x:v>1</x:v>
      </x:c>
      <x:c r="L67" s="13" t="n">
        <x:f>E67*K67</x:f>
        <x:v>1</x:v>
      </x:c>
    </x:row>
    <x:row r="68" ht="72" customHeight="1">
      <x:c r="A68" s="13" t="str">
        <x:v>UI-RESULT</x:v>
      </x:c>
      <x:c r="B68" s="13" t="str">
        <x:v>Match result and replay UI</x:v>
      </x:c>
      <x:c r="C68" s="13" t="str">
        <x:v>Global</x:v>
      </x:c>
      <x:c r="D68" s="13" t="str">
        <x:v>V1</x:v>
      </x:c>
      <x:c r="E68" s="24" t="n">
        <x:v>1</x:v>
      </x:c>
      <x:c r="F68" s="13" t="str">
        <x:v>Product/UI designer</x:v>
      </x:c>
      <x:c r="G68" s="13" t="str">
        <x:v>Not started</x:v>
      </x:c>
      <x:c r="H68" s="13" t="str">
        <x:v>SVG/WebP + source + UI specification</x:v>
      </x:c>
      <x:c r="I68" s="13" t="str">
        <x:v>Readable at capture size; keyboard accessible; no official branding; labels survive export.</x:v>
      </x:c>
      <x:c r="J68" s="13" t="str">
        <x:v>Original production requirement</x:v>
      </x:c>
      <x:c r="K68" s="13" t="n">
        <x:f>IF(C68="Per leader",Summary!$B$5,IF(C68="Per arena",Summary!$B$6,1))</x:f>
        <x:v>1</x:v>
      </x:c>
      <x:c r="L68" s="13" t="n">
        <x:f>E68*K68</x:f>
        <x:v>1</x:v>
      </x:c>
    </x:row>
    <x:row r="69" ht="72" customHeight="1">
      <x:c r="A69" s="13" t="str">
        <x:v>UI-DISCLOSURE</x:v>
      </x:c>
      <x:c r="B69" s="13" t="str">
        <x:v>Persistent fiction and AI labels</x:v>
      </x:c>
      <x:c r="C69" s="13" t="str">
        <x:v>Global</x:v>
      </x:c>
      <x:c r="D69" s="13" t="str">
        <x:v>V1</x:v>
      </x:c>
      <x:c r="E69" s="24" t="n">
        <x:v>1</x:v>
      </x:c>
      <x:c r="F69" s="13" t="str">
        <x:v>Product/UI designer</x:v>
      </x:c>
      <x:c r="G69" s="13" t="str">
        <x:v>Not started</x:v>
      </x:c>
      <x:c r="H69" s="13" t="str">
        <x:v>SVG/WebP + source + UI specification</x:v>
      </x:c>
      <x:c r="I69" s="13" t="str">
        <x:v>Readable at capture size; keyboard accessible; no official branding; labels survive export.</x:v>
      </x:c>
      <x:c r="J69" s="13" t="str">
        <x:v>Original production requirement</x:v>
      </x:c>
      <x:c r="K69" s="13" t="n">
        <x:f>IF(C69="Per leader",Summary!$B$5,IF(C69="Per arena",Summary!$B$6,1))</x:f>
        <x:v>1</x:v>
      </x:c>
      <x:c r="L69" s="13" t="n">
        <x:f>E69*K69</x:f>
        <x:v>1</x:v>
      </x:c>
    </x:row>
    <x:row r="70" ht="72" customHeight="1">
      <x:c r="A70" s="13" t="str">
        <x:v>UI-EXPORT</x:v>
      </x:c>
      <x:c r="B70" s="13" t="str">
        <x:v>16:9 and 9:16 capture overlays</x:v>
      </x:c>
      <x:c r="C70" s="13" t="str">
        <x:v>Global</x:v>
      </x:c>
      <x:c r="D70" s="13" t="str">
        <x:v>V1</x:v>
      </x:c>
      <x:c r="E70" s="24" t="n">
        <x:v>1</x:v>
      </x:c>
      <x:c r="F70" s="13" t="str">
        <x:v>Product/UI designer</x:v>
      </x:c>
      <x:c r="G70" s="13" t="str">
        <x:v>Not started</x:v>
      </x:c>
      <x:c r="H70" s="13" t="str">
        <x:v>SVG/WebP + source + UI specification</x:v>
      </x:c>
      <x:c r="I70" s="13" t="str">
        <x:v>Readable at capture size; keyboard accessible; no official branding; labels survive export.</x:v>
      </x:c>
      <x:c r="J70" s="13" t="str">
        <x:v>Original production requirement</x:v>
      </x:c>
      <x:c r="K70" s="13" t="n">
        <x:f>IF(C70="Per leader",Summary!$B$5,IF(C70="Per arena",Summary!$B$6,1))</x:f>
        <x:v>1</x:v>
      </x:c>
      <x:c r="L70" s="13" t="n">
        <x:f>E70*K70</x:f>
        <x:v>1</x:v>
      </x:c>
    </x:row>
    <x:row r="71" ht="72" customHeight="1">
      <x:c r="A71" s="13" t="str">
        <x:v>UI-SETTINGS</x:v>
      </x:c>
      <x:c r="B71" s="13" t="str">
        <x:v>Accessible settings and loading states</x:v>
      </x:c>
      <x:c r="C71" s="13" t="str">
        <x:v>Global</x:v>
      </x:c>
      <x:c r="D71" s="13" t="str">
        <x:v>V1</x:v>
      </x:c>
      <x:c r="E71" s="24" t="n">
        <x:v>1</x:v>
      </x:c>
      <x:c r="F71" s="13" t="str">
        <x:v>Product/UI designer</x:v>
      </x:c>
      <x:c r="G71" s="13" t="str">
        <x:v>Not started</x:v>
      </x:c>
      <x:c r="H71" s="13" t="str">
        <x:v>SVG/WebP + source + UI specification</x:v>
      </x:c>
      <x:c r="I71" s="13" t="str">
        <x:v>Readable at capture size; keyboard accessible; no official branding; labels survive export.</x:v>
      </x:c>
      <x:c r="J71" s="13" t="str">
        <x:v>Original production requirement</x:v>
      </x:c>
      <x:c r="K71" s="13" t="n">
        <x:f>IF(C71="Per leader",Summary!$B$5,IF(C71="Per arena",Summary!$B$6,1))</x:f>
        <x:v>1</x:v>
      </x:c>
      <x:c r="L71" s="13" t="n">
        <x:f>E71*K71</x:f>
        <x:v>1</x:v>
      </x:c>
    </x:row>
  </x:sheetData>
  <x:mergeCells>
    <x:mergeCell ref="A1:L1"/>
    <x:mergeCell ref="A2:L3"/>
  </x:mergeCells>
  <x:conditionalFormatting sqref="G6:G71">
    <x:cfRule type="expression" dxfId="0" priority="1">
      <x:formula>G6="Approved"</x:formula>
    </x:cfRule>
    <x:cfRule type="expression" dxfId="1" priority="2">
      <x:formula>G6="Blocked"</x:formula>
    </x:cfRule>
  </x:conditionalFormatting>
  <x:dataValidations count="1">
    <x:dataValidation type="list" sqref="G6:G71">
      <x:formula1>"Not started,In progress,Review,Approved,Blocked"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6cb21d511d42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16" hidden="0" customWidth="1"/>
    <x:col min="4" max="4" width="9" hidden="0" customWidth="1"/>
    <x:col min="5" max="5" width="15" hidden="0" customWidth="1"/>
    <x:col min="6" max="6" width="9" hidden="0" customWidth="1"/>
    <x:col min="7" max="7" width="22" hidden="0" customWidth="1"/>
    <x:col min="8" max="8" width="12" hidden="0" customWidth="1"/>
    <x:col min="9" max="9" width="18" hidden="0" customWidth="1"/>
    <x:col min="10" max="10" width="19" hidden="0" customWidth="1"/>
    <x:col min="11" max="11" width="40" hidden="0" customWidth="1"/>
  </x:cols>
  <x:sheetData>
    <x:row r="1" ht="30" customHeight="1">
      <x:c r="A1" s="3" t="str">
        <x:v>SUMMIT SHOWDOWN  /  ANIMATIONS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8" t="str">
        <x:v>62 shared V1 clips, four presentation clips per leader and two V2 clips. Durations are authoring guides; registered gameplay ticks remain authoritative.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4" customHeight="1">
      <x:c r="A5" s="19" t="str">
        <x:v>Clip ID</x:v>
      </x:c>
      <x:c r="B5" s="19" t="str">
        <x:v>Category</x:v>
      </x:c>
      <x:c r="C5" s="19" t="str">
        <x:v>Scope</x:v>
      </x:c>
      <x:c r="D5" s="19" t="str">
        <x:v>Phase</x:v>
      </x:c>
      <x:c r="E5" s="19" t="str">
        <x:v>Nominal seconds</x:v>
      </x:c>
      <x:c r="F5" s="19" t="str">
        <x:v>Loop</x:v>
      </x:c>
      <x:c r="G5" s="19" t="str">
        <x:v>Root motion</x:v>
      </x:c>
      <x:c r="H5" s="19" t="str">
        <x:v>Source FPS</x:v>
      </x:c>
      <x:c r="I5" s="19" t="str">
        <x:v>Status</x:v>
      </x:c>
      <x:c r="J5" s="19" t="str">
        <x:v>Owner</x:v>
      </x:c>
      <x:c r="K5" s="19" t="str">
        <x:v>Acceptance</x:v>
      </x:c>
    </x:row>
    <x:row r="6" ht="58" customHeight="1">
      <x:c r="A6" s="13" t="str">
        <x:v>idle_combat</x:v>
      </x:c>
      <x:c r="B6" s="13" t="str">
        <x:v>Idle</x:v>
      </x:c>
      <x:c r="C6" s="13" t="str">
        <x:v>Shared</x:v>
      </x:c>
      <x:c r="D6" s="13" t="str">
        <x:v>V1</x:v>
      </x:c>
      <x:c r="E6" s="32" t="n">
        <x:v>3</x:v>
      </x:c>
      <x:c r="F6" s="29" t="b">
        <x:v>1</x:v>
      </x:c>
      <x:c r="G6" s="13" t="str">
        <x:v>in_place</x:v>
      </x:c>
      <x:c r="H6" s="13" t="n">
        <x:v>60</x:v>
      </x:c>
      <x:c r="I6" s="13" t="str">
        <x:v>Not started</x:v>
      </x:c>
      <x:c r="J6" s="13" t="str">
        <x:v>Animator</x:v>
      </x:c>
      <x:c r="K6" s="13" t="str">
        <x:v>Retargeted on both test bodies; clean contacts; markers aligned to move data.</x:v>
      </x:c>
    </x:row>
    <x:row r="7" ht="58" customHeight="1">
      <x:c r="A7" s="13" t="str">
        <x:v>idle_guard</x:v>
      </x:c>
      <x:c r="B7" s="13" t="str">
        <x:v>Idle</x:v>
      </x:c>
      <x:c r="C7" s="13" t="str">
        <x:v>Shared</x:v>
      </x:c>
      <x:c r="D7" s="13" t="str">
        <x:v>V1</x:v>
      </x:c>
      <x:c r="E7" s="32" t="n">
        <x:v>2</x:v>
      </x:c>
      <x:c r="F7" s="29" t="b">
        <x:v>1</x:v>
      </x:c>
      <x:c r="G7" s="13" t="str">
        <x:v>in_place</x:v>
      </x:c>
      <x:c r="H7" s="13" t="n">
        <x:v>60</x:v>
      </x:c>
      <x:c r="I7" s="13" t="str">
        <x:v>Not started</x:v>
      </x:c>
      <x:c r="J7" s="13" t="str">
        <x:v>Animator</x:v>
      </x:c>
      <x:c r="K7" s="13" t="str">
        <x:v>Retargeted on both test bodies; clean contacts; markers aligned to move data.</x:v>
      </x:c>
    </x:row>
    <x:row r="8" ht="58" customHeight="1">
      <x:c r="A8" s="13" t="str">
        <x:v>breathing_additive</x:v>
      </x:c>
      <x:c r="B8" s="13" t="str">
        <x:v>Idle</x:v>
      </x:c>
      <x:c r="C8" s="13" t="str">
        <x:v>Shared</x:v>
      </x:c>
      <x:c r="D8" s="13" t="str">
        <x:v>V1</x:v>
      </x:c>
      <x:c r="E8" s="32" t="n">
        <x:v>4</x:v>
      </x:c>
      <x:c r="F8" s="29" t="b">
        <x:v>1</x:v>
      </x:c>
      <x:c r="G8" s="13" t="str">
        <x:v>in_place</x:v>
      </x:c>
      <x:c r="H8" s="13" t="n">
        <x:v>60</x:v>
      </x:c>
      <x:c r="I8" s="13" t="str">
        <x:v>Not started</x:v>
      </x:c>
      <x:c r="J8" s="13" t="str">
        <x:v>Animator</x:v>
      </x:c>
      <x:c r="K8" s="13" t="str">
        <x:v>Retargeted on both test bodies; clean contacts; markers aligned to move data.</x:v>
      </x:c>
    </x:row>
    <x:row r="9" ht="58" customHeight="1">
      <x:c r="A9" s="13" t="str">
        <x:v>look_at_additive</x:v>
      </x:c>
      <x:c r="B9" s="13" t="str">
        <x:v>Idle</x:v>
      </x:c>
      <x:c r="C9" s="13" t="str">
        <x:v>Shared</x:v>
      </x:c>
      <x:c r="D9" s="13" t="str">
        <x:v>V1</x:v>
      </x:c>
      <x:c r="E9" s="32" t="n">
        <x:v>2</x:v>
      </x:c>
      <x:c r="F9" s="29" t="b">
        <x:v>1</x:v>
      </x:c>
      <x:c r="G9" s="13" t="str">
        <x:v>in_place</x:v>
      </x:c>
      <x:c r="H9" s="13" t="n">
        <x:v>60</x:v>
      </x:c>
      <x:c r="I9" s="13" t="str">
        <x:v>Not started</x:v>
      </x:c>
      <x:c r="J9" s="13" t="str">
        <x:v>Animator</x:v>
      </x:c>
      <x:c r="K9" s="13" t="str">
        <x:v>Retargeted on both test bodies; clean contacts; markers aligned to move data.</x:v>
      </x:c>
    </x:row>
    <x:row r="10" ht="58" customHeight="1">
      <x:c r="A10" s="13" t="str">
        <x:v>walk_forward</x:v>
      </x:c>
      <x:c r="B10" s="13" t="str">
        <x:v>Locomotion</x:v>
      </x:c>
      <x:c r="C10" s="13" t="str">
        <x:v>Shared</x:v>
      </x:c>
      <x:c r="D10" s="13" t="str">
        <x:v>V1</x:v>
      </x:c>
      <x:c r="E10" s="32" t="n">
        <x:v>1</x:v>
      </x:c>
      <x:c r="F10" s="29" t="b">
        <x:v>1</x:v>
      </x:c>
      <x:c r="G10" s="13" t="str">
        <x:v>in_place</x:v>
      </x:c>
      <x:c r="H10" s="13" t="n">
        <x:v>60</x:v>
      </x:c>
      <x:c r="I10" s="13" t="str">
        <x:v>Not started</x:v>
      </x:c>
      <x:c r="J10" s="13" t="str">
        <x:v>Animator</x:v>
      </x:c>
      <x:c r="K10" s="13" t="str">
        <x:v>Retargeted on both test bodies; clean contacts; markers aligned to move data.</x:v>
      </x:c>
    </x:row>
    <x:row r="11" ht="58" customHeight="1">
      <x:c r="A11" s="13" t="str">
        <x:v>walk_backward</x:v>
      </x:c>
      <x:c r="B11" s="13" t="str">
        <x:v>Locomotion</x:v>
      </x:c>
      <x:c r="C11" s="13" t="str">
        <x:v>Shared</x:v>
      </x:c>
      <x:c r="D11" s="13" t="str">
        <x:v>V1</x:v>
      </x:c>
      <x:c r="E11" s="32" t="n">
        <x:v>1</x:v>
      </x:c>
      <x:c r="F11" s="29" t="b">
        <x:v>1</x:v>
      </x:c>
      <x:c r="G11" s="13" t="str">
        <x:v>in_place</x:v>
      </x:c>
      <x:c r="H11" s="13" t="n">
        <x:v>60</x:v>
      </x:c>
      <x:c r="I11" s="13" t="str">
        <x:v>Not started</x:v>
      </x:c>
      <x:c r="J11" s="13" t="str">
        <x:v>Animator</x:v>
      </x:c>
      <x:c r="K11" s="13" t="str">
        <x:v>Retargeted on both test bodies; clean contacts; markers aligned to move data.</x:v>
      </x:c>
    </x:row>
    <x:row r="12" ht="58" customHeight="1">
      <x:c r="A12" s="13" t="str">
        <x:v>turn_neutral</x:v>
      </x:c>
      <x:c r="B12" s="13" t="str">
        <x:v>Locomotion</x:v>
      </x:c>
      <x:c r="C12" s="13" t="str">
        <x:v>Shared</x:v>
      </x:c>
      <x:c r="D12" s="13" t="str">
        <x:v>V1</x:v>
      </x:c>
      <x:c r="E12" s="32" t="n">
        <x:v>0.35</x:v>
      </x:c>
      <x:c r="F12" s="29" t="b">
        <x:v>0</x:v>
      </x:c>
      <x:c r="G12" s="13" t="str">
        <x:v>in_place</x:v>
      </x:c>
      <x:c r="H12" s="13" t="n">
        <x:v>60</x:v>
      </x:c>
      <x:c r="I12" s="13" t="str">
        <x:v>Not started</x:v>
      </x:c>
      <x:c r="J12" s="13" t="str">
        <x:v>Animator</x:v>
      </x:c>
      <x:c r="K12" s="13" t="str">
        <x:v>Retargeted on both test bodies; clean contacts; markers aligned to move data.</x:v>
      </x:c>
    </x:row>
    <x:row r="13" ht="58" customHeight="1">
      <x:c r="A13" s="13" t="str">
        <x:v>dash_forward</x:v>
      </x:c>
      <x:c r="B13" s="13" t="str">
        <x:v>Locomotion</x:v>
      </x:c>
      <x:c r="C13" s="13" t="str">
        <x:v>Shared</x:v>
      </x:c>
      <x:c r="D13" s="13" t="str">
        <x:v>V1</x:v>
      </x:c>
      <x:c r="E13" s="32" t="n">
        <x:v>0.3</x:v>
      </x:c>
      <x:c r="F13" s="29" t="b">
        <x:v>0</x:v>
      </x:c>
      <x:c r="G13" s="13" t="str">
        <x:v>in_place</x:v>
      </x:c>
      <x:c r="H13" s="13" t="n">
        <x:v>60</x:v>
      </x:c>
      <x:c r="I13" s="13" t="str">
        <x:v>Not started</x:v>
      </x:c>
      <x:c r="J13" s="13" t="str">
        <x:v>Animator</x:v>
      </x:c>
      <x:c r="K13" s="13" t="str">
        <x:v>Retargeted on both test bodies; clean contacts; markers aligned to move data.</x:v>
      </x:c>
    </x:row>
    <x:row r="14" ht="58" customHeight="1">
      <x:c r="A14" s="13" t="str">
        <x:v>dash_back</x:v>
      </x:c>
      <x:c r="B14" s="13" t="str">
        <x:v>Locomotion</x:v>
      </x:c>
      <x:c r="C14" s="13" t="str">
        <x:v>Shared</x:v>
      </x:c>
      <x:c r="D14" s="13" t="str">
        <x:v>V1</x:v>
      </x:c>
      <x:c r="E14" s="32" t="n">
        <x:v>0.34</x:v>
      </x:c>
      <x:c r="F14" s="29" t="b">
        <x:v>0</x:v>
      </x:c>
      <x:c r="G14" s="13" t="str">
        <x:v>in_place</x:v>
      </x:c>
      <x:c r="H14" s="13" t="n">
        <x:v>60</x:v>
      </x:c>
      <x:c r="I14" s="13" t="str">
        <x:v>Not started</x:v>
      </x:c>
      <x:c r="J14" s="13" t="str">
        <x:v>Animator</x:v>
      </x:c>
      <x:c r="K14" s="13" t="str">
        <x:v>Retargeted on both test bodies; clean contacts; markers aligned to move data.</x:v>
      </x:c>
    </x:row>
    <x:row r="15" ht="58" customHeight="1">
      <x:c r="A15" s="13" t="str">
        <x:v>crouch_enter</x:v>
      </x:c>
      <x:c r="B15" s="13" t="str">
        <x:v>Locomotion</x:v>
      </x:c>
      <x:c r="C15" s="13" t="str">
        <x:v>Shared</x:v>
      </x:c>
      <x:c r="D15" s="13" t="str">
        <x:v>V1</x:v>
      </x:c>
      <x:c r="E15" s="32" t="n">
        <x:v>0.1</x:v>
      </x:c>
      <x:c r="F15" s="29" t="b">
        <x:v>0</x:v>
      </x:c>
      <x:c r="G15" s="13" t="str">
        <x:v>in_place</x:v>
      </x:c>
      <x:c r="H15" s="13" t="n">
        <x:v>60</x:v>
      </x:c>
      <x:c r="I15" s="13" t="str">
        <x:v>Not started</x:v>
      </x:c>
      <x:c r="J15" s="13" t="str">
        <x:v>Animator</x:v>
      </x:c>
      <x:c r="K15" s="13" t="str">
        <x:v>Retargeted on both test bodies; clean contacts; markers aligned to move data.</x:v>
      </x:c>
    </x:row>
    <x:row r="16" ht="58" customHeight="1">
      <x:c r="A16" s="13" t="str">
        <x:v>crouch_hold</x:v>
      </x:c>
      <x:c r="B16" s="13" t="str">
        <x:v>Locomotion</x:v>
      </x:c>
      <x:c r="C16" s="13" t="str">
        <x:v>Shared</x:v>
      </x:c>
      <x:c r="D16" s="13" t="str">
        <x:v>V1</x:v>
      </x:c>
      <x:c r="E16" s="32" t="n">
        <x:v>1</x:v>
      </x:c>
      <x:c r="F16" s="29" t="b">
        <x:v>1</x:v>
      </x:c>
      <x:c r="G16" s="13" t="str">
        <x:v>in_place</x:v>
      </x:c>
      <x:c r="H16" s="13" t="n">
        <x:v>60</x:v>
      </x:c>
      <x:c r="I16" s="13" t="str">
        <x:v>Not started</x:v>
      </x:c>
      <x:c r="J16" s="13" t="str">
        <x:v>Animator</x:v>
      </x:c>
      <x:c r="K16" s="13" t="str">
        <x:v>Retargeted on both test bodies; clean contacts; markers aligned to move data.</x:v>
      </x:c>
    </x:row>
    <x:row r="17" ht="58" customHeight="1">
      <x:c r="A17" s="13" t="str">
        <x:v>crouch_exit</x:v>
      </x:c>
      <x:c r="B17" s="13" t="str">
        <x:v>Locomotion</x:v>
      </x:c>
      <x:c r="C17" s="13" t="str">
        <x:v>Shared</x:v>
      </x:c>
      <x:c r="D17" s="13" t="str">
        <x:v>V1</x:v>
      </x:c>
      <x:c r="E17" s="32" t="n">
        <x:v>0.15</x:v>
      </x:c>
      <x:c r="F17" s="29" t="b">
        <x:v>0</x:v>
      </x:c>
      <x:c r="G17" s="13" t="str">
        <x:v>in_place</x:v>
      </x:c>
      <x:c r="H17" s="13" t="n">
        <x:v>60</x:v>
      </x:c>
      <x:c r="I17" s="13" t="str">
        <x:v>Not started</x:v>
      </x:c>
      <x:c r="J17" s="13" t="str">
        <x:v>Animator</x:v>
      </x:c>
      <x:c r="K17" s="13" t="str">
        <x:v>Retargeted on both test bodies; clean contacts; markers aligned to move data.</x:v>
      </x:c>
    </x:row>
    <x:row r="18" ht="58" customHeight="1">
      <x:c r="A18" s="13" t="str">
        <x:v>jump_takeoff</x:v>
      </x:c>
      <x:c r="B18" s="13" t="str">
        <x:v>Air</x:v>
      </x:c>
      <x:c r="C18" s="13" t="str">
        <x:v>Shared</x:v>
      </x:c>
      <x:c r="D18" s="13" t="str">
        <x:v>V1</x:v>
      </x:c>
      <x:c r="E18" s="32" t="n">
        <x:v>0.1</x:v>
      </x:c>
      <x:c r="F18" s="29" t="b">
        <x:v>0</x:v>
      </x:c>
      <x:c r="G18" s="13" t="str">
        <x:v>in_place</x:v>
      </x:c>
      <x:c r="H18" s="13" t="n">
        <x:v>60</x:v>
      </x:c>
      <x:c r="I18" s="13" t="str">
        <x:v>Not started</x:v>
      </x:c>
      <x:c r="J18" s="13" t="str">
        <x:v>Animator</x:v>
      </x:c>
      <x:c r="K18" s="13" t="str">
        <x:v>Retargeted on both test bodies; clean contacts; markers aligned to move data.</x:v>
      </x:c>
    </x:row>
    <x:row r="19" ht="58" customHeight="1">
      <x:c r="A19" s="13" t="str">
        <x:v>jump_air</x:v>
      </x:c>
      <x:c r="B19" s="13" t="str">
        <x:v>Air</x:v>
      </x:c>
      <x:c r="C19" s="13" t="str">
        <x:v>Shared</x:v>
      </x:c>
      <x:c r="D19" s="13" t="str">
        <x:v>V1</x:v>
      </x:c>
      <x:c r="E19" s="32" t="n">
        <x:v>0.54</x:v>
      </x:c>
      <x:c r="F19" s="29" t="b">
        <x:v>0</x:v>
      </x:c>
      <x:c r="G19" s="13" t="str">
        <x:v>in_place</x:v>
      </x:c>
      <x:c r="H19" s="13" t="n">
        <x:v>60</x:v>
      </x:c>
      <x:c r="I19" s="13" t="str">
        <x:v>Not started</x:v>
      </x:c>
      <x:c r="J19" s="13" t="str">
        <x:v>Animator</x:v>
      </x:c>
      <x:c r="K19" s="13" t="str">
        <x:v>Retargeted on both test bodies; clean contacts; markers aligned to move data.</x:v>
      </x:c>
    </x:row>
    <x:row r="20" ht="58" customHeight="1">
      <x:c r="A20" s="13" t="str">
        <x:v>jump_land</x:v>
      </x:c>
      <x:c r="B20" s="13" t="str">
        <x:v>Air</x:v>
      </x:c>
      <x:c r="C20" s="13" t="str">
        <x:v>Shared</x:v>
      </x:c>
      <x:c r="D20" s="13" t="str">
        <x:v>V1</x:v>
      </x:c>
      <x:c r="E20" s="32" t="n">
        <x:v>0.14</x:v>
      </x:c>
      <x:c r="F20" s="29" t="b">
        <x:v>0</x:v>
      </x:c>
      <x:c r="G20" s="13" t="str">
        <x:v>in_place</x:v>
      </x:c>
      <x:c r="H20" s="13" t="n">
        <x:v>60</x:v>
      </x:c>
      <x:c r="I20" s="13" t="str">
        <x:v>Not started</x:v>
      </x:c>
      <x:c r="J20" s="13" t="str">
        <x:v>Animator</x:v>
      </x:c>
      <x:c r="K20" s="13" t="str">
        <x:v>Retargeted on both test bodies; clean contacts; markers aligned to move data.</x:v>
      </x:c>
    </x:row>
    <x:row r="21" ht="58" customHeight="1">
      <x:c r="A21" s="13" t="str">
        <x:v>attack_light</x:v>
      </x:c>
      <x:c r="B21" s="13" t="str">
        <x:v>Attack</x:v>
      </x:c>
      <x:c r="C21" s="13" t="str">
        <x:v>Shared</x:v>
      </x:c>
      <x:c r="D21" s="13" t="str">
        <x:v>V1</x:v>
      </x:c>
      <x:c r="E21" s="32" t="n">
        <x:v>0.367</x:v>
      </x:c>
      <x:c r="F21" s="29" t="b">
        <x:v>0</x:v>
      </x:c>
      <x:c r="G21" s="13" t="str">
        <x:v>in_place</x:v>
      </x:c>
      <x:c r="H21" s="13" t="n">
        <x:v>60</x:v>
      </x:c>
      <x:c r="I21" s="13" t="str">
        <x:v>Not started</x:v>
      </x:c>
      <x:c r="J21" s="13" t="str">
        <x:v>Animator</x:v>
      </x:c>
      <x:c r="K21" s="13" t="str">
        <x:v>Retargeted on both test bodies; clean contacts; markers aligned to move data.</x:v>
      </x:c>
    </x:row>
    <x:row r="22" ht="58" customHeight="1">
      <x:c r="A22" s="13" t="str">
        <x:v>attack_body</x:v>
      </x:c>
      <x:c r="B22" s="13" t="str">
        <x:v>Attack</x:v>
      </x:c>
      <x:c r="C22" s="13" t="str">
        <x:v>Shared</x:v>
      </x:c>
      <x:c r="D22" s="13" t="str">
        <x:v>V1</x:v>
      </x:c>
      <x:c r="E22" s="32" t="n">
        <x:v>0.5</x:v>
      </x:c>
      <x:c r="F22" s="29" t="b">
        <x:v>0</x:v>
      </x:c>
      <x:c r="G22" s="13" t="str">
        <x:v>in_place</x:v>
      </x:c>
      <x:c r="H22" s="13" t="n">
        <x:v>60</x:v>
      </x:c>
      <x:c r="I22" s="13" t="str">
        <x:v>Not started</x:v>
      </x:c>
      <x:c r="J22" s="13" t="str">
        <x:v>Animator</x:v>
      </x:c>
      <x:c r="K22" s="13" t="str">
        <x:v>Retargeted on both test bodies; clean contacts; markers aligned to move data.</x:v>
      </x:c>
    </x:row>
    <x:row r="23" ht="58" customHeight="1">
      <x:c r="A23" s="13" t="str">
        <x:v>attack_heavy</x:v>
      </x:c>
      <x:c r="B23" s="13" t="str">
        <x:v>Attack</x:v>
      </x:c>
      <x:c r="C23" s="13" t="str">
        <x:v>Shared</x:v>
      </x:c>
      <x:c r="D23" s="13" t="str">
        <x:v>V1</x:v>
      </x:c>
      <x:c r="E23" s="32" t="n">
        <x:v>0.767</x:v>
      </x:c>
      <x:c r="F23" s="29" t="b">
        <x:v>0</x:v>
      </x:c>
      <x:c r="G23" s="13" t="str">
        <x:v>in_place</x:v>
      </x:c>
      <x:c r="H23" s="13" t="n">
        <x:v>60</x:v>
      </x:c>
      <x:c r="I23" s="13" t="str">
        <x:v>Not started</x:v>
      </x:c>
      <x:c r="J23" s="13" t="str">
        <x:v>Animator</x:v>
      </x:c>
      <x:c r="K23" s="13" t="str">
        <x:v>Retargeted on both test bodies; clean contacts; markers aligned to move data.</x:v>
      </x:c>
    </x:row>
    <x:row r="24" ht="58" customHeight="1">
      <x:c r="A24" s="13" t="str">
        <x:v>attack_low</x:v>
      </x:c>
      <x:c r="B24" s="13" t="str">
        <x:v>Attack</x:v>
      </x:c>
      <x:c r="C24" s="13" t="str">
        <x:v>Shared</x:v>
      </x:c>
      <x:c r="D24" s="13" t="str">
        <x:v>V1</x:v>
      </x:c>
      <x:c r="E24" s="32" t="n">
        <x:v>0.667</x:v>
      </x:c>
      <x:c r="F24" s="29" t="b">
        <x:v>0</x:v>
      </x:c>
      <x:c r="G24" s="13" t="str">
        <x:v>in_place</x:v>
      </x:c>
      <x:c r="H24" s="13" t="n">
        <x:v>60</x:v>
      </x:c>
      <x:c r="I24" s="13" t="str">
        <x:v>Not started</x:v>
      </x:c>
      <x:c r="J24" s="13" t="str">
        <x:v>Animator</x:v>
      </x:c>
      <x:c r="K24" s="13" t="str">
        <x:v>Retargeted on both test bodies; clean contacts; markers aligned to move data.</x:v>
      </x:c>
    </x:row>
    <x:row r="25" ht="58" customHeight="1">
      <x:c r="A25" s="13" t="str">
        <x:v>attack_overhead</x:v>
      </x:c>
      <x:c r="B25" s="13" t="str">
        <x:v>Attack</x:v>
      </x:c>
      <x:c r="C25" s="13" t="str">
        <x:v>Shared</x:v>
      </x:c>
      <x:c r="D25" s="13" t="str">
        <x:v>V1</x:v>
      </x:c>
      <x:c r="E25" s="32" t="n">
        <x:v>0.883</x:v>
      </x:c>
      <x:c r="F25" s="29" t="b">
        <x:v>0</x:v>
      </x:c>
      <x:c r="G25" s="13" t="str">
        <x:v>in_place</x:v>
      </x:c>
      <x:c r="H25" s="13" t="n">
        <x:v>60</x:v>
      </x:c>
      <x:c r="I25" s="13" t="str">
        <x:v>Not started</x:v>
      </x:c>
      <x:c r="J25" s="13" t="str">
        <x:v>Animator</x:v>
      </x:c>
      <x:c r="K25" s="13" t="str">
        <x:v>Retargeted on both test bodies; clean contacts; markers aligned to move data.</x:v>
      </x:c>
    </x:row>
    <x:row r="26" ht="58" customHeight="1">
      <x:c r="A26" s="13" t="str">
        <x:v>attack_anti_air</x:v>
      </x:c>
      <x:c r="B26" s="13" t="str">
        <x:v>Attack</x:v>
      </x:c>
      <x:c r="C26" s="13" t="str">
        <x:v>Shared</x:v>
      </x:c>
      <x:c r="D26" s="13" t="str">
        <x:v>V1</x:v>
      </x:c>
      <x:c r="E26" s="32" t="n">
        <x:v>0.683</x:v>
      </x:c>
      <x:c r="F26" s="29" t="b">
        <x:v>0</x:v>
      </x:c>
      <x:c r="G26" s="13" t="str">
        <x:v>in_place</x:v>
      </x:c>
      <x:c r="H26" s="13" t="n">
        <x:v>60</x:v>
      </x:c>
      <x:c r="I26" s="13" t="str">
        <x:v>Not started</x:v>
      </x:c>
      <x:c r="J26" s="13" t="str">
        <x:v>Animator</x:v>
      </x:c>
      <x:c r="K26" s="13" t="str">
        <x:v>Retargeted on both test bodies; clean contacts; markers aligned to move data.</x:v>
      </x:c>
    </x:row>
    <x:row r="27" ht="58" customHeight="1">
      <x:c r="A27" s="13" t="str">
        <x:v>attack_air_kick</x:v>
      </x:c>
      <x:c r="B27" s="13" t="str">
        <x:v>Attack</x:v>
      </x:c>
      <x:c r="C27" s="13" t="str">
        <x:v>Shared</x:v>
      </x:c>
      <x:c r="D27" s="13" t="str">
        <x:v>V1</x:v>
      </x:c>
      <x:c r="E27" s="32" t="n">
        <x:v>0.533</x:v>
      </x:c>
      <x:c r="F27" s="29" t="b">
        <x:v>0</x:v>
      </x:c>
      <x:c r="G27" s="13" t="str">
        <x:v>in_place</x:v>
      </x:c>
      <x:c r="H27" s="13" t="n">
        <x:v>60</x:v>
      </x:c>
      <x:c r="I27" s="13" t="str">
        <x:v>Not started</x:v>
      </x:c>
      <x:c r="J27" s="13" t="str">
        <x:v>Animator</x:v>
      </x:c>
      <x:c r="K27" s="13" t="str">
        <x:v>Retargeted on both test bodies; clean contacts; markers aligned to move data.</x:v>
      </x:c>
    </x:row>
    <x:row r="28" ht="58" customHeight="1">
      <x:c r="A28" s="13" t="str">
        <x:v>guard_high_enter</x:v>
      </x:c>
      <x:c r="B28" s="13" t="str">
        <x:v>Defence</x:v>
      </x:c>
      <x:c r="C28" s="13" t="str">
        <x:v>Shared</x:v>
      </x:c>
      <x:c r="D28" s="13" t="str">
        <x:v>V1</x:v>
      </x:c>
      <x:c r="E28" s="32" t="n">
        <x:v>0.1</x:v>
      </x:c>
      <x:c r="F28" s="29" t="b">
        <x:v>0</x:v>
      </x:c>
      <x:c r="G28" s="13" t="str">
        <x:v>in_place</x:v>
      </x:c>
      <x:c r="H28" s="13" t="n">
        <x:v>60</x:v>
      </x:c>
      <x:c r="I28" s="13" t="str">
        <x:v>Not started</x:v>
      </x:c>
      <x:c r="J28" s="13" t="str">
        <x:v>Animator</x:v>
      </x:c>
      <x:c r="K28" s="13" t="str">
        <x:v>Retargeted on both test bodies; clean contacts; markers aligned to move data.</x:v>
      </x:c>
    </x:row>
    <x:row r="29" ht="58" customHeight="1">
      <x:c r="A29" s="13" t="str">
        <x:v>guard_high_hold</x:v>
      </x:c>
      <x:c r="B29" s="13" t="str">
        <x:v>Defence</x:v>
      </x:c>
      <x:c r="C29" s="13" t="str">
        <x:v>Shared</x:v>
      </x:c>
      <x:c r="D29" s="13" t="str">
        <x:v>V1</x:v>
      </x:c>
      <x:c r="E29" s="32" t="n">
        <x:v>1</x:v>
      </x:c>
      <x:c r="F29" s="29" t="b">
        <x:v>1</x:v>
      </x:c>
      <x:c r="G29" s="13" t="str">
        <x:v>in_place</x:v>
      </x:c>
      <x:c r="H29" s="13" t="n">
        <x:v>60</x:v>
      </x:c>
      <x:c r="I29" s="13" t="str">
        <x:v>Not started</x:v>
      </x:c>
      <x:c r="J29" s="13" t="str">
        <x:v>Animator</x:v>
      </x:c>
      <x:c r="K29" s="13" t="str">
        <x:v>Retargeted on both test bodies; clean contacts; markers aligned to move data.</x:v>
      </x:c>
    </x:row>
    <x:row r="30" ht="58" customHeight="1">
      <x:c r="A30" s="13" t="str">
        <x:v>guard_high_exit</x:v>
      </x:c>
      <x:c r="B30" s="13" t="str">
        <x:v>Defence</x:v>
      </x:c>
      <x:c r="C30" s="13" t="str">
        <x:v>Shared</x:v>
      </x:c>
      <x:c r="D30" s="13" t="str">
        <x:v>V1</x:v>
      </x:c>
      <x:c r="E30" s="32" t="n">
        <x:v>0.1</x:v>
      </x:c>
      <x:c r="F30" s="29" t="b">
        <x:v>0</x:v>
      </x:c>
      <x:c r="G30" s="13" t="str">
        <x:v>in_place</x:v>
      </x:c>
      <x:c r="H30" s="13" t="n">
        <x:v>60</x:v>
      </x:c>
      <x:c r="I30" s="13" t="str">
        <x:v>Not started</x:v>
      </x:c>
      <x:c r="J30" s="13" t="str">
        <x:v>Animator</x:v>
      </x:c>
      <x:c r="K30" s="13" t="str">
        <x:v>Retargeted on both test bodies; clean contacts; markers aligned to move data.</x:v>
      </x:c>
    </x:row>
    <x:row r="31" ht="58" customHeight="1">
      <x:c r="A31" s="13" t="str">
        <x:v>guard_low_enter</x:v>
      </x:c>
      <x:c r="B31" s="13" t="str">
        <x:v>Defence</x:v>
      </x:c>
      <x:c r="C31" s="13" t="str">
        <x:v>Shared</x:v>
      </x:c>
      <x:c r="D31" s="13" t="str">
        <x:v>V1</x:v>
      </x:c>
      <x:c r="E31" s="32" t="n">
        <x:v>0.1</x:v>
      </x:c>
      <x:c r="F31" s="29" t="b">
        <x:v>0</x:v>
      </x:c>
      <x:c r="G31" s="13" t="str">
        <x:v>in_place</x:v>
      </x:c>
      <x:c r="H31" s="13" t="n">
        <x:v>60</x:v>
      </x:c>
      <x:c r="I31" s="13" t="str">
        <x:v>Not started</x:v>
      </x:c>
      <x:c r="J31" s="13" t="str">
        <x:v>Animator</x:v>
      </x:c>
      <x:c r="K31" s="13" t="str">
        <x:v>Retargeted on both test bodies; clean contacts; markers aligned to move data.</x:v>
      </x:c>
    </x:row>
    <x:row r="32" ht="58" customHeight="1">
      <x:c r="A32" s="13" t="str">
        <x:v>guard_low_hold</x:v>
      </x:c>
      <x:c r="B32" s="13" t="str">
        <x:v>Defence</x:v>
      </x:c>
      <x:c r="C32" s="13" t="str">
        <x:v>Shared</x:v>
      </x:c>
      <x:c r="D32" s="13" t="str">
        <x:v>V1</x:v>
      </x:c>
      <x:c r="E32" s="32" t="n">
        <x:v>1</x:v>
      </x:c>
      <x:c r="F32" s="29" t="b">
        <x:v>1</x:v>
      </x:c>
      <x:c r="G32" s="13" t="str">
        <x:v>in_place</x:v>
      </x:c>
      <x:c r="H32" s="13" t="n">
        <x:v>60</x:v>
      </x:c>
      <x:c r="I32" s="13" t="str">
        <x:v>Not started</x:v>
      </x:c>
      <x:c r="J32" s="13" t="str">
        <x:v>Animator</x:v>
      </x:c>
      <x:c r="K32" s="13" t="str">
        <x:v>Retargeted on both test bodies; clean contacts; markers aligned to move data.</x:v>
      </x:c>
    </x:row>
    <x:row r="33" ht="58" customHeight="1">
      <x:c r="A33" s="13" t="str">
        <x:v>guard_low_exit</x:v>
      </x:c>
      <x:c r="B33" s="13" t="str">
        <x:v>Defence</x:v>
      </x:c>
      <x:c r="C33" s="13" t="str">
        <x:v>Shared</x:v>
      </x:c>
      <x:c r="D33" s="13" t="str">
        <x:v>V1</x:v>
      </x:c>
      <x:c r="E33" s="32" t="n">
        <x:v>0.1</x:v>
      </x:c>
      <x:c r="F33" s="29" t="b">
        <x:v>0</x:v>
      </x:c>
      <x:c r="G33" s="13" t="str">
        <x:v>in_place</x:v>
      </x:c>
      <x:c r="H33" s="13" t="n">
        <x:v>60</x:v>
      </x:c>
      <x:c r="I33" s="13" t="str">
        <x:v>Not started</x:v>
      </x:c>
      <x:c r="J33" s="13" t="str">
        <x:v>Animator</x:v>
      </x:c>
      <x:c r="K33" s="13" t="str">
        <x:v>Retargeted on both test bodies; clean contacts; markers aligned to move data.</x:v>
      </x:c>
    </x:row>
    <x:row r="34" ht="58" customHeight="1">
      <x:c r="A34" s="13" t="str">
        <x:v>parry_attempt</x:v>
      </x:c>
      <x:c r="B34" s="13" t="str">
        <x:v>Defence</x:v>
      </x:c>
      <x:c r="C34" s="13" t="str">
        <x:v>Shared</x:v>
      </x:c>
      <x:c r="D34" s="13" t="str">
        <x:v>V1</x:v>
      </x:c>
      <x:c r="E34" s="32" t="n">
        <x:v>0.54</x:v>
      </x:c>
      <x:c r="F34" s="29" t="b">
        <x:v>0</x:v>
      </x:c>
      <x:c r="G34" s="13" t="str">
        <x:v>in_place</x:v>
      </x:c>
      <x:c r="H34" s="13" t="n">
        <x:v>60</x:v>
      </x:c>
      <x:c r="I34" s="13" t="str">
        <x:v>Not started</x:v>
      </x:c>
      <x:c r="J34" s="13" t="str">
        <x:v>Animator</x:v>
      </x:c>
      <x:c r="K34" s="13" t="str">
        <x:v>Retargeted on both test bodies; clean contacts; markers aligned to move data.</x:v>
      </x:c>
    </x:row>
    <x:row r="35" ht="58" customHeight="1">
      <x:c r="A35" s="13" t="str">
        <x:v>parry_success</x:v>
      </x:c>
      <x:c r="B35" s="13" t="str">
        <x:v>Defence</x:v>
      </x:c>
      <x:c r="C35" s="13" t="str">
        <x:v>Shared</x:v>
      </x:c>
      <x:c r="D35" s="13" t="str">
        <x:v>V1</x:v>
      </x:c>
      <x:c r="E35" s="32" t="n">
        <x:v>0.2</x:v>
      </x:c>
      <x:c r="F35" s="29" t="b">
        <x:v>0</x:v>
      </x:c>
      <x:c r="G35" s="13" t="str">
        <x:v>in_place</x:v>
      </x:c>
      <x:c r="H35" s="13" t="n">
        <x:v>60</x:v>
      </x:c>
      <x:c r="I35" s="13" t="str">
        <x:v>Not started</x:v>
      </x:c>
      <x:c r="J35" s="13" t="str">
        <x:v>Animator</x:v>
      </x:c>
      <x:c r="K35" s="13" t="str">
        <x:v>Retargeted on both test bodies; clean contacts; markers aligned to move data.</x:v>
      </x:c>
    </x:row>
    <x:row r="36" ht="58" customHeight="1">
      <x:c r="A36" s="13" t="str">
        <x:v>parry_recoiled</x:v>
      </x:c>
      <x:c r="B36" s="13" t="str">
        <x:v>Defence</x:v>
      </x:c>
      <x:c r="C36" s="13" t="str">
        <x:v>Shared</x:v>
      </x:c>
      <x:c r="D36" s="13" t="str">
        <x:v>V1</x:v>
      </x:c>
      <x:c r="E36" s="32" t="n">
        <x:v>0.4</x:v>
      </x:c>
      <x:c r="F36" s="29" t="b">
        <x:v>0</x:v>
      </x:c>
      <x:c r="G36" s="13" t="str">
        <x:v>in_place</x:v>
      </x:c>
      <x:c r="H36" s="13" t="n">
        <x:v>60</x:v>
      </x:c>
      <x:c r="I36" s="13" t="str">
        <x:v>Not started</x:v>
      </x:c>
      <x:c r="J36" s="13" t="str">
        <x:v>Animator</x:v>
      </x:c>
      <x:c r="K36" s="13" t="str">
        <x:v>Retargeted on both test bodies; clean contacts; markers aligned to move data.</x:v>
      </x:c>
    </x:row>
    <x:row r="37" ht="58" customHeight="1">
      <x:c r="A37" s="13" t="str">
        <x:v>throw_attacker</x:v>
      </x:c>
      <x:c r="B37" s="13" t="str">
        <x:v>Paired</x:v>
      </x:c>
      <x:c r="C37" s="13" t="str">
        <x:v>Shared</x:v>
      </x:c>
      <x:c r="D37" s="13" t="str">
        <x:v>V1</x:v>
      </x:c>
      <x:c r="E37" s="32" t="n">
        <x:v>0.74</x:v>
      </x:c>
      <x:c r="F37" s="29" t="b">
        <x:v>0</x:v>
      </x:c>
      <x:c r="G37" s="13" t="str">
        <x:v>scripted_anchors</x:v>
      </x:c>
      <x:c r="H37" s="13" t="n">
        <x:v>60</x:v>
      </x:c>
      <x:c r="I37" s="13" t="str">
        <x:v>Not started</x:v>
      </x:c>
      <x:c r="J37" s="13" t="str">
        <x:v>Animator</x:v>
      </x:c>
      <x:c r="K37" s="13" t="str">
        <x:v>Retargeted on both test bodies; clean contacts; markers aligned to move data.</x:v>
      </x:c>
    </x:row>
    <x:row r="38" ht="58" customHeight="1">
      <x:c r="A38" s="13" t="str">
        <x:v>throw_victim</x:v>
      </x:c>
      <x:c r="B38" s="13" t="str">
        <x:v>Paired</x:v>
      </x:c>
      <x:c r="C38" s="13" t="str">
        <x:v>Shared</x:v>
      </x:c>
      <x:c r="D38" s="13" t="str">
        <x:v>V1</x:v>
      </x:c>
      <x:c r="E38" s="32" t="n">
        <x:v>0.74</x:v>
      </x:c>
      <x:c r="F38" s="29" t="b">
        <x:v>0</x:v>
      </x:c>
      <x:c r="G38" s="13" t="str">
        <x:v>scripted_anchors</x:v>
      </x:c>
      <x:c r="H38" s="13" t="n">
        <x:v>60</x:v>
      </x:c>
      <x:c r="I38" s="13" t="str">
        <x:v>Not started</x:v>
      </x:c>
      <x:c r="J38" s="13" t="str">
        <x:v>Animator</x:v>
      </x:c>
      <x:c r="K38" s="13" t="str">
        <x:v>Retargeted on both test bodies; clean contacts; markers aligned to move data.</x:v>
      </x:c>
    </x:row>
    <x:row r="39" ht="58" customHeight="1">
      <x:c r="A39" s="13" t="str">
        <x:v>throw_break_attacker</x:v>
      </x:c>
      <x:c r="B39" s="13" t="str">
        <x:v>Paired</x:v>
      </x:c>
      <x:c r="C39" s="13" t="str">
        <x:v>Shared</x:v>
      </x:c>
      <x:c r="D39" s="13" t="str">
        <x:v>V1</x:v>
      </x:c>
      <x:c r="E39" s="32" t="n">
        <x:v>0.3</x:v>
      </x:c>
      <x:c r="F39" s="29" t="b">
        <x:v>0</x:v>
      </x:c>
      <x:c r="G39" s="13" t="str">
        <x:v>scripted_anchors</x:v>
      </x:c>
      <x:c r="H39" s="13" t="n">
        <x:v>60</x:v>
      </x:c>
      <x:c r="I39" s="13" t="str">
        <x:v>Not started</x:v>
      </x:c>
      <x:c r="J39" s="13" t="str">
        <x:v>Animator</x:v>
      </x:c>
      <x:c r="K39" s="13" t="str">
        <x:v>Retargeted on both test bodies; clean contacts; markers aligned to move data.</x:v>
      </x:c>
    </x:row>
    <x:row r="40" ht="58" customHeight="1">
      <x:c r="A40" s="13" t="str">
        <x:v>throw_break_victim</x:v>
      </x:c>
      <x:c r="B40" s="13" t="str">
        <x:v>Paired</x:v>
      </x:c>
      <x:c r="C40" s="13" t="str">
        <x:v>Shared</x:v>
      </x:c>
      <x:c r="D40" s="13" t="str">
        <x:v>V1</x:v>
      </x:c>
      <x:c r="E40" s="32" t="n">
        <x:v>0.3</x:v>
      </x:c>
      <x:c r="F40" s="29" t="b">
        <x:v>0</x:v>
      </x:c>
      <x:c r="G40" s="13" t="str">
        <x:v>scripted_anchors</x:v>
      </x:c>
      <x:c r="H40" s="13" t="n">
        <x:v>60</x:v>
      </x:c>
      <x:c r="I40" s="13" t="str">
        <x:v>Not started</x:v>
      </x:c>
      <x:c r="J40" s="13" t="str">
        <x:v>Animator</x:v>
      </x:c>
      <x:c r="K40" s="13" t="str">
        <x:v>Retargeted on both test bodies; clean contacts; markers aligned to move data.</x:v>
      </x:c>
    </x:row>
    <x:row r="41" ht="58" customHeight="1">
      <x:c r="A41" s="13" t="str">
        <x:v>hit_high_front_light</x:v>
      </x:c>
      <x:c r="B41" s="13" t="str">
        <x:v>Reaction</x:v>
      </x:c>
      <x:c r="C41" s="13" t="str">
        <x:v>Shared</x:v>
      </x:c>
      <x:c r="D41" s="13" t="str">
        <x:v>V1</x:v>
      </x:c>
      <x:c r="E41" s="32" t="n">
        <x:v>0.5</x:v>
      </x:c>
      <x:c r="F41" s="29" t="b">
        <x:v>0</x:v>
      </x:c>
      <x:c r="G41" s="13" t="str">
        <x:v>in_place</x:v>
      </x:c>
      <x:c r="H41" s="13" t="n">
        <x:v>60</x:v>
      </x:c>
      <x:c r="I41" s="13" t="str">
        <x:v>Not started</x:v>
      </x:c>
      <x:c r="J41" s="13" t="str">
        <x:v>Animator</x:v>
      </x:c>
      <x:c r="K41" s="13" t="str">
        <x:v>Retargeted on both test bodies; clean contacts; markers aligned to move data.</x:v>
      </x:c>
    </x:row>
    <x:row r="42" ht="58" customHeight="1">
      <x:c r="A42" s="13" t="str">
        <x:v>hit_high_front_heavy</x:v>
      </x:c>
      <x:c r="B42" s="13" t="str">
        <x:v>Reaction</x:v>
      </x:c>
      <x:c r="C42" s="13" t="str">
        <x:v>Shared</x:v>
      </x:c>
      <x:c r="D42" s="13" t="str">
        <x:v>V1</x:v>
      </x:c>
      <x:c r="E42" s="32" t="n">
        <x:v>0.5</x:v>
      </x:c>
      <x:c r="F42" s="29" t="b">
        <x:v>0</x:v>
      </x:c>
      <x:c r="G42" s="13" t="str">
        <x:v>in_place</x:v>
      </x:c>
      <x:c r="H42" s="13" t="n">
        <x:v>60</x:v>
      </x:c>
      <x:c r="I42" s="13" t="str">
        <x:v>Not started</x:v>
      </x:c>
      <x:c r="J42" s="13" t="str">
        <x:v>Animator</x:v>
      </x:c>
      <x:c r="K42" s="13" t="str">
        <x:v>Retargeted on both test bodies; clean contacts; markers aligned to move data.</x:v>
      </x:c>
    </x:row>
    <x:row r="43" ht="58" customHeight="1">
      <x:c r="A43" s="13" t="str">
        <x:v>hit_body_front_light</x:v>
      </x:c>
      <x:c r="B43" s="13" t="str">
        <x:v>Reaction</x:v>
      </x:c>
      <x:c r="C43" s="13" t="str">
        <x:v>Shared</x:v>
      </x:c>
      <x:c r="D43" s="13" t="str">
        <x:v>V1</x:v>
      </x:c>
      <x:c r="E43" s="32" t="n">
        <x:v>0.5</x:v>
      </x:c>
      <x:c r="F43" s="29" t="b">
        <x:v>0</x:v>
      </x:c>
      <x:c r="G43" s="13" t="str">
        <x:v>in_place</x:v>
      </x:c>
      <x:c r="H43" s="13" t="n">
        <x:v>60</x:v>
      </x:c>
      <x:c r="I43" s="13" t="str">
        <x:v>Not started</x:v>
      </x:c>
      <x:c r="J43" s="13" t="str">
        <x:v>Animator</x:v>
      </x:c>
      <x:c r="K43" s="13" t="str">
        <x:v>Retargeted on both test bodies; clean contacts; markers aligned to move data.</x:v>
      </x:c>
    </x:row>
    <x:row r="44" ht="58" customHeight="1">
      <x:c r="A44" s="13" t="str">
        <x:v>hit_body_front_heavy</x:v>
      </x:c>
      <x:c r="B44" s="13" t="str">
        <x:v>Reaction</x:v>
      </x:c>
      <x:c r="C44" s="13" t="str">
        <x:v>Shared</x:v>
      </x:c>
      <x:c r="D44" s="13" t="str">
        <x:v>V1</x:v>
      </x:c>
      <x:c r="E44" s="32" t="n">
        <x:v>0.5</x:v>
      </x:c>
      <x:c r="F44" s="29" t="b">
        <x:v>0</x:v>
      </x:c>
      <x:c r="G44" s="13" t="str">
        <x:v>in_place</x:v>
      </x:c>
      <x:c r="H44" s="13" t="n">
        <x:v>60</x:v>
      </x:c>
      <x:c r="I44" s="13" t="str">
        <x:v>Not started</x:v>
      </x:c>
      <x:c r="J44" s="13" t="str">
        <x:v>Animator</x:v>
      </x:c>
      <x:c r="K44" s="13" t="str">
        <x:v>Retargeted on both test bodies; clean contacts; markers aligned to move data.</x:v>
      </x:c>
    </x:row>
    <x:row r="45" ht="58" customHeight="1">
      <x:c r="A45" s="13" t="str">
        <x:v>hit_low_front</x:v>
      </x:c>
      <x:c r="B45" s="13" t="str">
        <x:v>Reaction</x:v>
      </x:c>
      <x:c r="C45" s="13" t="str">
        <x:v>Shared</x:v>
      </x:c>
      <x:c r="D45" s="13" t="str">
        <x:v>V1</x:v>
      </x:c>
      <x:c r="E45" s="32" t="n">
        <x:v>0.5</x:v>
      </x:c>
      <x:c r="F45" s="29" t="b">
        <x:v>0</x:v>
      </x:c>
      <x:c r="G45" s="13" t="str">
        <x:v>in_place</x:v>
      </x:c>
      <x:c r="H45" s="13" t="n">
        <x:v>60</x:v>
      </x:c>
      <x:c r="I45" s="13" t="str">
        <x:v>Not started</x:v>
      </x:c>
      <x:c r="J45" s="13" t="str">
        <x:v>Animator</x:v>
      </x:c>
      <x:c r="K45" s="13" t="str">
        <x:v>Retargeted on both test bodies; clean contacts; markers aligned to move data.</x:v>
      </x:c>
    </x:row>
    <x:row r="46" ht="58" customHeight="1">
      <x:c r="A46" s="13" t="str">
        <x:v>hit_air</x:v>
      </x:c>
      <x:c r="B46" s="13" t="str">
        <x:v>Reaction</x:v>
      </x:c>
      <x:c r="C46" s="13" t="str">
        <x:v>Shared</x:v>
      </x:c>
      <x:c r="D46" s="13" t="str">
        <x:v>V1</x:v>
      </x:c>
      <x:c r="E46" s="32" t="n">
        <x:v>0.5</x:v>
      </x:c>
      <x:c r="F46" s="29" t="b">
        <x:v>0</x:v>
      </x:c>
      <x:c r="G46" s="13" t="str">
        <x:v>in_place</x:v>
      </x:c>
      <x:c r="H46" s="13" t="n">
        <x:v>60</x:v>
      </x:c>
      <x:c r="I46" s="13" t="str">
        <x:v>Not started</x:v>
      </x:c>
      <x:c r="J46" s="13" t="str">
        <x:v>Animator</x:v>
      </x:c>
      <x:c r="K46" s="13" t="str">
        <x:v>Retargeted on both test bodies; clean contacts; markers aligned to move data.</x:v>
      </x:c>
    </x:row>
    <x:row r="47" ht="58" customHeight="1">
      <x:c r="A47" s="13" t="str">
        <x:v>block_high_light</x:v>
      </x:c>
      <x:c r="B47" s="13" t="str">
        <x:v>Reaction</x:v>
      </x:c>
      <x:c r="C47" s="13" t="str">
        <x:v>Shared</x:v>
      </x:c>
      <x:c r="D47" s="13" t="str">
        <x:v>V1</x:v>
      </x:c>
      <x:c r="E47" s="32" t="n">
        <x:v>0.5</x:v>
      </x:c>
      <x:c r="F47" s="29" t="b">
        <x:v>0</x:v>
      </x:c>
      <x:c r="G47" s="13" t="str">
        <x:v>in_place</x:v>
      </x:c>
      <x:c r="H47" s="13" t="n">
        <x:v>60</x:v>
      </x:c>
      <x:c r="I47" s="13" t="str">
        <x:v>Not started</x:v>
      </x:c>
      <x:c r="J47" s="13" t="str">
        <x:v>Animator</x:v>
      </x:c>
      <x:c r="K47" s="13" t="str">
        <x:v>Retargeted on both test bodies; clean contacts; markers aligned to move data.</x:v>
      </x:c>
    </x:row>
    <x:row r="48" ht="58" customHeight="1">
      <x:c r="A48" s="13" t="str">
        <x:v>block_high_heavy</x:v>
      </x:c>
      <x:c r="B48" s="13" t="str">
        <x:v>Reaction</x:v>
      </x:c>
      <x:c r="C48" s="13" t="str">
        <x:v>Shared</x:v>
      </x:c>
      <x:c r="D48" s="13" t="str">
        <x:v>V1</x:v>
      </x:c>
      <x:c r="E48" s="32" t="n">
        <x:v>0.5</x:v>
      </x:c>
      <x:c r="F48" s="29" t="b">
        <x:v>0</x:v>
      </x:c>
      <x:c r="G48" s="13" t="str">
        <x:v>in_place</x:v>
      </x:c>
      <x:c r="H48" s="13" t="n">
        <x:v>60</x:v>
      </x:c>
      <x:c r="I48" s="13" t="str">
        <x:v>Not started</x:v>
      </x:c>
      <x:c r="J48" s="13" t="str">
        <x:v>Animator</x:v>
      </x:c>
      <x:c r="K48" s="13" t="str">
        <x:v>Retargeted on both test bodies; clean contacts; markers aligned to move data.</x:v>
      </x:c>
    </x:row>
    <x:row r="49" ht="58" customHeight="1">
      <x:c r="A49" s="13" t="str">
        <x:v>block_low_light</x:v>
      </x:c>
      <x:c r="B49" s="13" t="str">
        <x:v>Reaction</x:v>
      </x:c>
      <x:c r="C49" s="13" t="str">
        <x:v>Shared</x:v>
      </x:c>
      <x:c r="D49" s="13" t="str">
        <x:v>V1</x:v>
      </x:c>
      <x:c r="E49" s="32" t="n">
        <x:v>0.5</x:v>
      </x:c>
      <x:c r="F49" s="29" t="b">
        <x:v>0</x:v>
      </x:c>
      <x:c r="G49" s="13" t="str">
        <x:v>in_place</x:v>
      </x:c>
      <x:c r="H49" s="13" t="n">
        <x:v>60</x:v>
      </x:c>
      <x:c r="I49" s="13" t="str">
        <x:v>Not started</x:v>
      </x:c>
      <x:c r="J49" s="13" t="str">
        <x:v>Animator</x:v>
      </x:c>
      <x:c r="K49" s="13" t="str">
        <x:v>Retargeted on both test bodies; clean contacts; markers aligned to move data.</x:v>
      </x:c>
    </x:row>
    <x:row r="50" ht="58" customHeight="1">
      <x:c r="A50" s="13" t="str">
        <x:v>block_low_heavy</x:v>
      </x:c>
      <x:c r="B50" s="13" t="str">
        <x:v>Reaction</x:v>
      </x:c>
      <x:c r="C50" s="13" t="str">
        <x:v>Shared</x:v>
      </x:c>
      <x:c r="D50" s="13" t="str">
        <x:v>V1</x:v>
      </x:c>
      <x:c r="E50" s="32" t="n">
        <x:v>0.5</x:v>
      </x:c>
      <x:c r="F50" s="29" t="b">
        <x:v>0</x:v>
      </x:c>
      <x:c r="G50" s="13" t="str">
        <x:v>in_place</x:v>
      </x:c>
      <x:c r="H50" s="13" t="n">
        <x:v>60</x:v>
      </x:c>
      <x:c r="I50" s="13" t="str">
        <x:v>Not started</x:v>
      </x:c>
      <x:c r="J50" s="13" t="str">
        <x:v>Animator</x:v>
      </x:c>
      <x:c r="K50" s="13" t="str">
        <x:v>Retargeted on both test bodies; clean contacts; markers aligned to move data.</x:v>
      </x:c>
    </x:row>
    <x:row r="51" ht="58" customHeight="1">
      <x:c r="A51" s="13" t="str">
        <x:v>stagger_guard_break</x:v>
      </x:c>
      <x:c r="B51" s="13" t="str">
        <x:v>Reaction</x:v>
      </x:c>
      <x:c r="C51" s="13" t="str">
        <x:v>Shared</x:v>
      </x:c>
      <x:c r="D51" s="13" t="str">
        <x:v>V1</x:v>
      </x:c>
      <x:c r="E51" s="32" t="n">
        <x:v>0.5</x:v>
      </x:c>
      <x:c r="F51" s="29" t="b">
        <x:v>0</x:v>
      </x:c>
      <x:c r="G51" s="13" t="str">
        <x:v>in_place</x:v>
      </x:c>
      <x:c r="H51" s="13" t="n">
        <x:v>60</x:v>
      </x:c>
      <x:c r="I51" s="13" t="str">
        <x:v>Not started</x:v>
      </x:c>
      <x:c r="J51" s="13" t="str">
        <x:v>Animator</x:v>
      </x:c>
      <x:c r="K51" s="13" t="str">
        <x:v>Retargeted on both test bodies; clean contacts; markers aligned to move data.</x:v>
      </x:c>
    </x:row>
    <x:row r="52" ht="58" customHeight="1">
      <x:c r="A52" s="13" t="str">
        <x:v>wall_recoil</x:v>
      </x:c>
      <x:c r="B52" s="13" t="str">
        <x:v>Reaction</x:v>
      </x:c>
      <x:c r="C52" s="13" t="str">
        <x:v>Shared</x:v>
      </x:c>
      <x:c r="D52" s="13" t="str">
        <x:v>V1</x:v>
      </x:c>
      <x:c r="E52" s="32" t="n">
        <x:v>0.5</x:v>
      </x:c>
      <x:c r="F52" s="29" t="b">
        <x:v>0</x:v>
      </x:c>
      <x:c r="G52" s="13" t="str">
        <x:v>in_place</x:v>
      </x:c>
      <x:c r="H52" s="13" t="n">
        <x:v>60</x:v>
      </x:c>
      <x:c r="I52" s="13" t="str">
        <x:v>Not started</x:v>
      </x:c>
      <x:c r="J52" s="13" t="str">
        <x:v>Animator</x:v>
      </x:c>
      <x:c r="K52" s="13" t="str">
        <x:v>Retargeted on both test bodies; clean contacts; markers aligned to move data.</x:v>
      </x:c>
    </x:row>
    <x:row r="53" ht="58" customHeight="1">
      <x:c r="A53" s="13" t="str">
        <x:v>knockdown_back</x:v>
      </x:c>
      <x:c r="B53" s="13" t="str">
        <x:v>Recovery</x:v>
      </x:c>
      <x:c r="C53" s="13" t="str">
        <x:v>Shared</x:v>
      </x:c>
      <x:c r="D53" s="13" t="str">
        <x:v>V1</x:v>
      </x:c>
      <x:c r="E53" s="32" t="n">
        <x:v>0.7</x:v>
      </x:c>
      <x:c r="F53" s="29" t="b">
        <x:v>0</x:v>
      </x:c>
      <x:c r="G53" s="13" t="str">
        <x:v>in_place</x:v>
      </x:c>
      <x:c r="H53" s="13" t="n">
        <x:v>60</x:v>
      </x:c>
      <x:c r="I53" s="13" t="str">
        <x:v>Not started</x:v>
      </x:c>
      <x:c r="J53" s="13" t="str">
        <x:v>Animator</x:v>
      </x:c>
      <x:c r="K53" s="13" t="str">
        <x:v>Retargeted on both test bodies; clean contacts; markers aligned to move data.</x:v>
      </x:c>
    </x:row>
    <x:row r="54" ht="58" customHeight="1">
      <x:c r="A54" s="13" t="str">
        <x:v>knockdown_front</x:v>
      </x:c>
      <x:c r="B54" s="13" t="str">
        <x:v>Recovery</x:v>
      </x:c>
      <x:c r="C54" s="13" t="str">
        <x:v>Shared</x:v>
      </x:c>
      <x:c r="D54" s="13" t="str">
        <x:v>V1</x:v>
      </x:c>
      <x:c r="E54" s="32" t="n">
        <x:v>0.7</x:v>
      </x:c>
      <x:c r="F54" s="29" t="b">
        <x:v>0</x:v>
      </x:c>
      <x:c r="G54" s="13" t="str">
        <x:v>in_place</x:v>
      </x:c>
      <x:c r="H54" s="13" t="n">
        <x:v>60</x:v>
      </x:c>
      <x:c r="I54" s="13" t="str">
        <x:v>Not started</x:v>
      </x:c>
      <x:c r="J54" s="13" t="str">
        <x:v>Animator</x:v>
      </x:c>
      <x:c r="K54" s="13" t="str">
        <x:v>Retargeted on both test bodies; clean contacts; markers aligned to move data.</x:v>
      </x:c>
    </x:row>
    <x:row r="55" ht="58" customHeight="1">
      <x:c r="A55" s="13" t="str">
        <x:v>ground_hold</x:v>
      </x:c>
      <x:c r="B55" s="13" t="str">
        <x:v>Recovery</x:v>
      </x:c>
      <x:c r="C55" s="13" t="str">
        <x:v>Shared</x:v>
      </x:c>
      <x:c r="D55" s="13" t="str">
        <x:v>V1</x:v>
      </x:c>
      <x:c r="E55" s="32" t="n">
        <x:v>1</x:v>
      </x:c>
      <x:c r="F55" s="29" t="b">
        <x:v>1</x:v>
      </x:c>
      <x:c r="G55" s="13" t="str">
        <x:v>in_place</x:v>
      </x:c>
      <x:c r="H55" s="13" t="n">
        <x:v>60</x:v>
      </x:c>
      <x:c r="I55" s="13" t="str">
        <x:v>Not started</x:v>
      </x:c>
      <x:c r="J55" s="13" t="str">
        <x:v>Animator</x:v>
      </x:c>
      <x:c r="K55" s="13" t="str">
        <x:v>Retargeted on both test bodies; clean contacts; markers aligned to move data.</x:v>
      </x:c>
    </x:row>
    <x:row r="56" ht="58" customHeight="1">
      <x:c r="A56" s="13" t="str">
        <x:v>getup_back</x:v>
      </x:c>
      <x:c r="B56" s="13" t="str">
        <x:v>Recovery</x:v>
      </x:c>
      <x:c r="C56" s="13" t="str">
        <x:v>Shared</x:v>
      </x:c>
      <x:c r="D56" s="13" t="str">
        <x:v>V1</x:v>
      </x:c>
      <x:c r="E56" s="32" t="n">
        <x:v>0.8</x:v>
      </x:c>
      <x:c r="F56" s="29" t="b">
        <x:v>0</x:v>
      </x:c>
      <x:c r="G56" s="13" t="str">
        <x:v>in_place</x:v>
      </x:c>
      <x:c r="H56" s="13" t="n">
        <x:v>60</x:v>
      </x:c>
      <x:c r="I56" s="13" t="str">
        <x:v>Not started</x:v>
      </x:c>
      <x:c r="J56" s="13" t="str">
        <x:v>Animator</x:v>
      </x:c>
      <x:c r="K56" s="13" t="str">
        <x:v>Retargeted on both test bodies; clean contacts; markers aligned to move data.</x:v>
      </x:c>
    </x:row>
    <x:row r="57" ht="58" customHeight="1">
      <x:c r="A57" s="13" t="str">
        <x:v>getup_front</x:v>
      </x:c>
      <x:c r="B57" s="13" t="str">
        <x:v>Recovery</x:v>
      </x:c>
      <x:c r="C57" s="13" t="str">
        <x:v>Shared</x:v>
      </x:c>
      <x:c r="D57" s="13" t="str">
        <x:v>V1</x:v>
      </x:c>
      <x:c r="E57" s="32" t="n">
        <x:v>0.8</x:v>
      </x:c>
      <x:c r="F57" s="29" t="b">
        <x:v>0</x:v>
      </x:c>
      <x:c r="G57" s="13" t="str">
        <x:v>in_place</x:v>
      </x:c>
      <x:c r="H57" s="13" t="n">
        <x:v>60</x:v>
      </x:c>
      <x:c r="I57" s="13" t="str">
        <x:v>Not started</x:v>
      </x:c>
      <x:c r="J57" s="13" t="str">
        <x:v>Animator</x:v>
      </x:c>
      <x:c r="K57" s="13" t="str">
        <x:v>Retargeted on both test bodies; clean contacts; markers aligned to move data.</x:v>
      </x:c>
    </x:row>
    <x:row r="58" ht="58" customHeight="1">
      <x:c r="A58" s="13" t="str">
        <x:v>round_ko</x:v>
      </x:c>
      <x:c r="B58" s="13" t="str">
        <x:v>Recovery</x:v>
      </x:c>
      <x:c r="C58" s="13" t="str">
        <x:v>Shared</x:v>
      </x:c>
      <x:c r="D58" s="13" t="str">
        <x:v>V1</x:v>
      </x:c>
      <x:c r="E58" s="32" t="n">
        <x:v>1.4</x:v>
      </x:c>
      <x:c r="F58" s="29" t="b">
        <x:v>0</x:v>
      </x:c>
      <x:c r="G58" s="13" t="str">
        <x:v>in_place</x:v>
      </x:c>
      <x:c r="H58" s="13" t="n">
        <x:v>60</x:v>
      </x:c>
      <x:c r="I58" s="13" t="str">
        <x:v>Not started</x:v>
      </x:c>
      <x:c r="J58" s="13" t="str">
        <x:v>Animator</x:v>
      </x:c>
      <x:c r="K58" s="13" t="str">
        <x:v>Retargeted on both test bodies; clean contacts; markers aligned to move data.</x:v>
      </x:c>
    </x:row>
    <x:row r="59" ht="58" customHeight="1">
      <x:c r="A59" s="13" t="str">
        <x:v>round_recover</x:v>
      </x:c>
      <x:c r="B59" s="13" t="str">
        <x:v>Recovery</x:v>
      </x:c>
      <x:c r="C59" s="13" t="str">
        <x:v>Shared</x:v>
      </x:c>
      <x:c r="D59" s="13" t="str">
        <x:v>V1</x:v>
      </x:c>
      <x:c r="E59" s="32" t="n">
        <x:v>1.6</x:v>
      </x:c>
      <x:c r="F59" s="29" t="b">
        <x:v>0</x:v>
      </x:c>
      <x:c r="G59" s="13" t="str">
        <x:v>in_place</x:v>
      </x:c>
      <x:c r="H59" s="13" t="n">
        <x:v>60</x:v>
      </x:c>
      <x:c r="I59" s="13" t="str">
        <x:v>Not started</x:v>
      </x:c>
      <x:c r="J59" s="13" t="str">
        <x:v>Animator</x:v>
      </x:c>
      <x:c r="K59" s="13" t="str">
        <x:v>Retargeted on both test bodies; clean contacts; markers aligned to move data.</x:v>
      </x:c>
    </x:row>
    <x:row r="60" ht="58" customHeight="1">
      <x:c r="A60" s="13" t="str">
        <x:v>shield_cast</x:v>
      </x:c>
      <x:c r="B60" s="13" t="str">
        <x:v>Special</x:v>
      </x:c>
      <x:c r="C60" s="13" t="str">
        <x:v>Shared</x:v>
      </x:c>
      <x:c r="D60" s="13" t="str">
        <x:v>V1</x:v>
      </x:c>
      <x:c r="E60" s="32" t="n">
        <x:v>0.94</x:v>
      </x:c>
      <x:c r="F60" s="29" t="b">
        <x:v>0</x:v>
      </x:c>
      <x:c r="G60" s="13" t="str">
        <x:v>in_place</x:v>
      </x:c>
      <x:c r="H60" s="13" t="n">
        <x:v>60</x:v>
      </x:c>
      <x:c r="I60" s="13" t="str">
        <x:v>Not started</x:v>
      </x:c>
      <x:c r="J60" s="13" t="str">
        <x:v>Animator</x:v>
      </x:c>
      <x:c r="K60" s="13" t="str">
        <x:v>Retargeted on both test bodies; clean contacts; markers aligned to move data.</x:v>
      </x:c>
    </x:row>
    <x:row r="61" ht="58" customHeight="1">
      <x:c r="A61" s="13" t="str">
        <x:v>shield_absorb</x:v>
      </x:c>
      <x:c r="B61" s="13" t="str">
        <x:v>Special</x:v>
      </x:c>
      <x:c r="C61" s="13" t="str">
        <x:v>Shared</x:v>
      </x:c>
      <x:c r="D61" s="13" t="str">
        <x:v>V1</x:v>
      </x:c>
      <x:c r="E61" s="32" t="n">
        <x:v>0.2</x:v>
      </x:c>
      <x:c r="F61" s="29" t="b">
        <x:v>0</x:v>
      </x:c>
      <x:c r="G61" s="13" t="str">
        <x:v>in_place</x:v>
      </x:c>
      <x:c r="H61" s="13" t="n">
        <x:v>60</x:v>
      </x:c>
      <x:c r="I61" s="13" t="str">
        <x:v>Not started</x:v>
      </x:c>
      <x:c r="J61" s="13" t="str">
        <x:v>Animator</x:v>
      </x:c>
      <x:c r="K61" s="13" t="str">
        <x:v>Retargeted on both test bodies; clean contacts; markers aligned to move data.</x:v>
      </x:c>
    </x:row>
    <x:row r="62" ht="58" customHeight="1">
      <x:c r="A62" s="13" t="str">
        <x:v>papers_cast</x:v>
      </x:c>
      <x:c r="B62" s="13" t="str">
        <x:v>Special</x:v>
      </x:c>
      <x:c r="C62" s="13" t="str">
        <x:v>Shared</x:v>
      </x:c>
      <x:c r="D62" s="13" t="str">
        <x:v>V1</x:v>
      </x:c>
      <x:c r="E62" s="32" t="n">
        <x:v>1.04</x:v>
      </x:c>
      <x:c r="F62" s="29" t="b">
        <x:v>0</x:v>
      </x:c>
      <x:c r="G62" s="13" t="str">
        <x:v>in_place</x:v>
      </x:c>
      <x:c r="H62" s="13" t="n">
        <x:v>60</x:v>
      </x:c>
      <x:c r="I62" s="13" t="str">
        <x:v>Not started</x:v>
      </x:c>
      <x:c r="J62" s="13" t="str">
        <x:v>Animator</x:v>
      </x:c>
      <x:c r="K62" s="13" t="str">
        <x:v>Retargeted on both test bodies; clean contacts; markers aligned to move data.</x:v>
      </x:c>
    </x:row>
    <x:row r="63" ht="58" customHeight="1">
      <x:c r="A63" s="13" t="str">
        <x:v>papers_hit_reaction</x:v>
      </x:c>
      <x:c r="B63" s="13" t="str">
        <x:v>Special</x:v>
      </x:c>
      <x:c r="C63" s="13" t="str">
        <x:v>Shared</x:v>
      </x:c>
      <x:c r="D63" s="13" t="str">
        <x:v>V1</x:v>
      </x:c>
      <x:c r="E63" s="32" t="n">
        <x:v>0.7</x:v>
      </x:c>
      <x:c r="F63" s="29" t="b">
        <x:v>0</x:v>
      </x:c>
      <x:c r="G63" s="13" t="str">
        <x:v>in_place</x:v>
      </x:c>
      <x:c r="H63" s="13" t="n">
        <x:v>60</x:v>
      </x:c>
      <x:c r="I63" s="13" t="str">
        <x:v>Not started</x:v>
      </x:c>
      <x:c r="J63" s="13" t="str">
        <x:v>Animator</x:v>
      </x:c>
      <x:c r="K63" s="13" t="str">
        <x:v>Retargeted on both test bodies; clean contacts; markers aligned to move data.</x:v>
      </x:c>
    </x:row>
    <x:row r="64" ht="58" customHeight="1">
      <x:c r="A64" s="13" t="str">
        <x:v>intro_adjust_cuffs</x:v>
      </x:c>
      <x:c r="B64" s="13" t="str">
        <x:v>Presentation</x:v>
      </x:c>
      <x:c r="C64" s="13" t="str">
        <x:v>Shared</x:v>
      </x:c>
      <x:c r="D64" s="13" t="str">
        <x:v>V1</x:v>
      </x:c>
      <x:c r="E64" s="32" t="n">
        <x:v>2</x:v>
      </x:c>
      <x:c r="F64" s="29" t="b">
        <x:v>0</x:v>
      </x:c>
      <x:c r="G64" s="13" t="str">
        <x:v>in_place</x:v>
      </x:c>
      <x:c r="H64" s="13" t="n">
        <x:v>60</x:v>
      </x:c>
      <x:c r="I64" s="13" t="str">
        <x:v>Not started</x:v>
      </x:c>
      <x:c r="J64" s="13" t="str">
        <x:v>Animator</x:v>
      </x:c>
      <x:c r="K64" s="13" t="str">
        <x:v>Retargeted on both test bodies; clean contacts; markers aligned to move data.</x:v>
      </x:c>
    </x:row>
    <x:row r="65" ht="58" customHeight="1">
      <x:c r="A65" s="13" t="str">
        <x:v>intro_guard_up</x:v>
      </x:c>
      <x:c r="B65" s="13" t="str">
        <x:v>Presentation</x:v>
      </x:c>
      <x:c r="C65" s="13" t="str">
        <x:v>Shared</x:v>
      </x:c>
      <x:c r="D65" s="13" t="str">
        <x:v>V1</x:v>
      </x:c>
      <x:c r="E65" s="32" t="n">
        <x:v>1.4</x:v>
      </x:c>
      <x:c r="F65" s="29" t="b">
        <x:v>0</x:v>
      </x:c>
      <x:c r="G65" s="13" t="str">
        <x:v>in_place</x:v>
      </x:c>
      <x:c r="H65" s="13" t="n">
        <x:v>60</x:v>
      </x:c>
      <x:c r="I65" s="13" t="str">
        <x:v>Not started</x:v>
      </x:c>
      <x:c r="J65" s="13" t="str">
        <x:v>Animator</x:v>
      </x:c>
      <x:c r="K65" s="13" t="str">
        <x:v>Retargeted on both test bodies; clean contacts; markers aligned to move data.</x:v>
      </x:c>
    </x:row>
    <x:row r="66" ht="58" customHeight="1">
      <x:c r="A66" s="13" t="str">
        <x:v>victory_composed</x:v>
      </x:c>
      <x:c r="B66" s="13" t="str">
        <x:v>Presentation</x:v>
      </x:c>
      <x:c r="C66" s="13" t="str">
        <x:v>Shared</x:v>
      </x:c>
      <x:c r="D66" s="13" t="str">
        <x:v>V1</x:v>
      </x:c>
      <x:c r="E66" s="32" t="n">
        <x:v>2.2</x:v>
      </x:c>
      <x:c r="F66" s="29" t="b">
        <x:v>0</x:v>
      </x:c>
      <x:c r="G66" s="13" t="str">
        <x:v>in_place</x:v>
      </x:c>
      <x:c r="H66" s="13" t="n">
        <x:v>60</x:v>
      </x:c>
      <x:c r="I66" s="13" t="str">
        <x:v>Not started</x:v>
      </x:c>
      <x:c r="J66" s="13" t="str">
        <x:v>Animator</x:v>
      </x:c>
      <x:c r="K66" s="13" t="str">
        <x:v>Retargeted on both test bodies; clean contacts; markers aligned to move data.</x:v>
      </x:c>
    </x:row>
    <x:row r="67" ht="58" customHeight="1">
      <x:c r="A67" s="13" t="str">
        <x:v>defeat_seated</x:v>
      </x:c>
      <x:c r="B67" s="13" t="str">
        <x:v>Presentation</x:v>
      </x:c>
      <x:c r="C67" s="13" t="str">
        <x:v>Shared</x:v>
      </x:c>
      <x:c r="D67" s="13" t="str">
        <x:v>V1</x:v>
      </x:c>
      <x:c r="E67" s="32" t="n">
        <x:v>2.3</x:v>
      </x:c>
      <x:c r="F67" s="29" t="b">
        <x:v>0</x:v>
      </x:c>
      <x:c r="G67" s="13" t="str">
        <x:v>in_place</x:v>
      </x:c>
      <x:c r="H67" s="13" t="n">
        <x:v>60</x:v>
      </x:c>
      <x:c r="I67" s="13" t="str">
        <x:v>Not started</x:v>
      </x:c>
      <x:c r="J67" s="13" t="str">
        <x:v>Animator</x:v>
      </x:c>
      <x:c r="K67" s="13" t="str">
        <x:v>Retargeted on both test bodies; clean contacts; markers aligned to move data.</x:v>
      </x:c>
    </x:row>
    <x:row r="68" ht="58" customHeight="1">
      <x:c r="A68" s="13" t="str">
        <x:v>entry_signature</x:v>
      </x:c>
      <x:c r="B68" s="13" t="str">
        <x:v>Likeness presentation</x:v>
      </x:c>
      <x:c r="C68" s="13" t="str">
        <x:v>Per leader</x:v>
      </x:c>
      <x:c r="D68" s="13" t="str">
        <x:v>V1</x:v>
      </x:c>
      <x:c r="E68" s="32" t="n">
        <x:v>2</x:v>
      </x:c>
      <x:c r="F68" s="29" t="b">
        <x:v>0</x:v>
      </x:c>
      <x:c r="G68" s="13" t="str">
        <x:v>in_place</x:v>
      </x:c>
      <x:c r="H68" s="13" t="n">
        <x:v>60</x:v>
      </x:c>
      <x:c r="I68" s="13" t="str">
        <x:v>Not started</x:v>
      </x:c>
      <x:c r="J68" s="13" t="str">
        <x:v>Animator</x:v>
      </x:c>
      <x:c r="K68" s="13" t="str">
        <x:v>Original neutral performance; no imitation of medical symptoms, no authentic speech or attributed political behaviour.</x:v>
      </x:c>
    </x:row>
    <x:row r="69" ht="58" customHeight="1">
      <x:c r="A69" s="13" t="str">
        <x:v>idle_signature_additive</x:v>
      </x:c>
      <x:c r="B69" s="13" t="str">
        <x:v>Likeness presentation</x:v>
      </x:c>
      <x:c r="C69" s="13" t="str">
        <x:v>Per leader</x:v>
      </x:c>
      <x:c r="D69" s="13" t="str">
        <x:v>V1</x:v>
      </x:c>
      <x:c r="E69" s="32" t="n">
        <x:v>2</x:v>
      </x:c>
      <x:c r="F69" s="29" t="b">
        <x:v>0</x:v>
      </x:c>
      <x:c r="G69" s="13" t="str">
        <x:v>in_place</x:v>
      </x:c>
      <x:c r="H69" s="13" t="n">
        <x:v>60</x:v>
      </x:c>
      <x:c r="I69" s="13" t="str">
        <x:v>Not started</x:v>
      </x:c>
      <x:c r="J69" s="13" t="str">
        <x:v>Animator</x:v>
      </x:c>
      <x:c r="K69" s="13" t="str">
        <x:v>Original neutral performance; no imitation of medical symptoms, no authentic speech or attributed political behaviour.</x:v>
      </x:c>
    </x:row>
    <x:row r="70" ht="58" customHeight="1">
      <x:c r="A70" s="13" t="str">
        <x:v>victory_signature</x:v>
      </x:c>
      <x:c r="B70" s="13" t="str">
        <x:v>Likeness presentation</x:v>
      </x:c>
      <x:c r="C70" s="13" t="str">
        <x:v>Per leader</x:v>
      </x:c>
      <x:c r="D70" s="13" t="str">
        <x:v>V1</x:v>
      </x:c>
      <x:c r="E70" s="32" t="n">
        <x:v>2</x:v>
      </x:c>
      <x:c r="F70" s="29" t="b">
        <x:v>0</x:v>
      </x:c>
      <x:c r="G70" s="13" t="str">
        <x:v>in_place</x:v>
      </x:c>
      <x:c r="H70" s="13" t="n">
        <x:v>60</x:v>
      </x:c>
      <x:c r="I70" s="13" t="str">
        <x:v>Not started</x:v>
      </x:c>
      <x:c r="J70" s="13" t="str">
        <x:v>Animator</x:v>
      </x:c>
      <x:c r="K70" s="13" t="str">
        <x:v>Original neutral performance; no imitation of medical symptoms, no authentic speech or attributed political behaviour.</x:v>
      </x:c>
    </x:row>
    <x:row r="71" ht="58" customHeight="1">
      <x:c r="A71" s="13" t="str">
        <x:v>selection_pose</x:v>
      </x:c>
      <x:c r="B71" s="13" t="str">
        <x:v>Likeness presentation</x:v>
      </x:c>
      <x:c r="C71" s="13" t="str">
        <x:v>Per leader</x:v>
      </x:c>
      <x:c r="D71" s="13" t="str">
        <x:v>V1</x:v>
      </x:c>
      <x:c r="E71" s="32" t="n">
        <x:v>2</x:v>
      </x:c>
      <x:c r="F71" s="29" t="b">
        <x:v>0</x:v>
      </x:c>
      <x:c r="G71" s="13" t="str">
        <x:v>in_place</x:v>
      </x:c>
      <x:c r="H71" s="13" t="n">
        <x:v>60</x:v>
      </x:c>
      <x:c r="I71" s="13" t="str">
        <x:v>Not started</x:v>
      </x:c>
      <x:c r="J71" s="13" t="str">
        <x:v>Animator</x:v>
      </x:c>
      <x:c r="K71" s="13" t="str">
        <x:v>Original neutral performance; no imitation of medical symptoms, no authentic speech or attributed political behaviour.</x:v>
      </x:c>
    </x:row>
    <x:row r="72" ht="58" customHeight="1">
      <x:c r="A72" s="13" t="str">
        <x:v>summit_cast</x:v>
      </x:c>
      <x:c r="B72" s="13" t="str">
        <x:v>Special</x:v>
      </x:c>
      <x:c r="C72" s="13" t="str">
        <x:v>Shared</x:v>
      </x:c>
      <x:c r="D72" s="13" t="str">
        <x:v>V2</x:v>
      </x:c>
      <x:c r="E72" s="32" t="n">
        <x:v>1.2</x:v>
      </x:c>
      <x:c r="F72" s="29" t="b">
        <x:v>0</x:v>
      </x:c>
      <x:c r="G72" s="13" t="str">
        <x:v>scripted_anchors</x:v>
      </x:c>
      <x:c r="H72" s="13" t="n">
        <x:v>60</x:v>
      </x:c>
      <x:c r="I72" s="13" t="str">
        <x:v>Not started</x:v>
      </x:c>
      <x:c r="J72" s="13" t="str">
        <x:v>Animator</x:v>
      </x:c>
      <x:c r="K72" s="13" t="str">
        <x:v>Retargeted on both test bodies; clean contacts; markers aligned to move data.</x:v>
      </x:c>
    </x:row>
    <x:row r="73" ht="58" customHeight="1">
      <x:c r="A73" s="13" t="str">
        <x:v>summit_hit_reaction</x:v>
      </x:c>
      <x:c r="B73" s="13" t="str">
        <x:v>Special</x:v>
      </x:c>
      <x:c r="C73" s="13" t="str">
        <x:v>Shared</x:v>
      </x:c>
      <x:c r="D73" s="13" t="str">
        <x:v>V2</x:v>
      </x:c>
      <x:c r="E73" s="32" t="n">
        <x:v>1.2</x:v>
      </x:c>
      <x:c r="F73" s="29" t="b">
        <x:v>0</x:v>
      </x:c>
      <x:c r="G73" s="13" t="str">
        <x:v>scripted_anchors</x:v>
      </x:c>
      <x:c r="H73" s="13" t="n">
        <x:v>60</x:v>
      </x:c>
      <x:c r="I73" s="13" t="str">
        <x:v>Not started</x:v>
      </x:c>
      <x:c r="J73" s="13" t="str">
        <x:v>Animator</x:v>
      </x:c>
      <x:c r="K73" s="13" t="str">
        <x:v>Retargeted on both test bodies; clean contacts; markers aligned to move data.</x:v>
      </x:c>
    </x:row>
  </x:sheetData>
  <x:mergeCells>
    <x:mergeCell ref="A1:K1"/>
    <x:mergeCell ref="A2:K3"/>
  </x:mergeCells>
  <x:conditionalFormatting sqref="I6:I73">
    <x:cfRule type="expression" dxfId="2" priority="1">
      <x:formula>I6="Approved"</x:formula>
    </x:cfRule>
    <x:cfRule type="expression" dxfId="3" priority="2">
      <x:formula>I6="Blocked"</x:formula>
    </x:cfRule>
  </x:conditionalFormatting>
  <x:dataValidations count="1">
    <x:dataValidation type="list" sqref="I6:I73">
      <x:formula1>"Not started,In progress,Review,Approved,Blocked"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a3fd3272d64b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6" hidden="0" customWidth="1"/>
    <x:col min="3" max="3" width="30" hidden="0" customWidth="1"/>
    <x:col min="4" max="4" width="11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1" hidden="0" customWidth="1"/>
    <x:col min="13" max="13" width="12" hidden="0" customWidth="1"/>
    <x:col min="14" max="14" width="14" hidden="0" customWidth="1"/>
    <x:col min="15" max="15" width="12" hidden="0" customWidth="1"/>
    <x:col min="16" max="16" width="17" hidden="0" customWidth="1"/>
    <x:col min="17" max="17" width="12" hidden="0" customWidth="1"/>
    <x:col min="18" max="18" width="12" hidden="0" customWidth="1"/>
    <x:col min="19" max="19" width="9" hidden="0" customWidth="1"/>
    <x:col min="20" max="20" width="14" hidden="0" customWidth="1"/>
    <x:col min="21" max="21" width="40" hidden="0" customWidth="1"/>
  </x:cols>
  <x:sheetData>
    <x:row r="1" ht="30" customHeight="1">
      <x:c r="A1" s="3" t="str">
        <x:v>SUMMIT SHOWDOWN  /  MOVES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8" t="str">
        <x:v>Initial balance proposal at 60 Hz. Held-state active=1 denotes a loop, not a one-tick duration. Special/throw branches use explicit events; these are not tested balance values.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</x:row>
    <x:row r="5" ht="34" customHeight="1">
      <x:c r="A5" s="19" t="str">
        <x:v>Move ID</x:v>
      </x:c>
      <x:c r="B5" s="19" t="str">
        <x:v>Name</x:v>
      </x:c>
      <x:c r="C5" s="19" t="str">
        <x:v>Input</x:v>
      </x:c>
      <x:c r="D5" s="19" t="str">
        <x:v>Startup</x:v>
      </x:c>
      <x:c r="E5" s="19" t="str">
        <x:v>Active</x:v>
      </x:c>
      <x:c r="F5" s="19" t="str">
        <x:v>Recovery</x:v>
      </x:c>
      <x:c r="G5" s="19" t="str">
        <x:v>Total ticks</x:v>
      </x:c>
      <x:c r="H5" s="19" t="str">
        <x:v>Damage</x:v>
      </x:c>
      <x:c r="I5" s="19" t="str">
        <x:v>Stamina</x:v>
      </x:c>
      <x:c r="J5" s="19" t="str">
        <x:v>Meter</x:v>
      </x:c>
      <x:c r="K5" s="19" t="str">
        <x:v>Hit level</x:v>
      </x:c>
      <x:c r="L5" s="19" t="str">
        <x:v>Hitstun</x:v>
      </x:c>
      <x:c r="M5" s="19" t="str">
        <x:v>Blockstun</x:v>
      </x:c>
      <x:c r="N5" s="19" t="str">
        <x:v>Guard stamina</x:v>
      </x:c>
      <x:c r="O5" s="19" t="str">
        <x:v>Reach (m)</x:v>
      </x:c>
      <x:c r="P5" s="19" t="str">
        <x:v>Cancel into</x:v>
      </x:c>
      <x:c r="Q5" s="19" t="str">
        <x:v>Cancel open</x:v>
      </x:c>
      <x:c r="R5" s="19" t="str">
        <x:v>Cancel close</x:v>
      </x:c>
      <x:c r="S5" s="19" t="str">
        <x:v>Phase</x:v>
      </x:c>
      <x:c r="T5" s="19" t="str">
        <x:v>Status</x:v>
      </x:c>
      <x:c r="U5" s="19" t="str">
        <x:v>Notes</x:v>
      </x:c>
    </x:row>
    <x:row r="6" ht="74" customHeight="1">
      <x:c r="A6" s="13" t="str">
        <x:v>light</x:v>
      </x:c>
      <x:c r="B6" s="13" t="str">
        <x:v>Straight punch</x:v>
      </x:c>
      <x:c r="C6" s="13" t="str">
        <x:v>J</x:v>
      </x:c>
      <x:c r="D6" s="13" t="n">
        <x:v>7</x:v>
      </x:c>
      <x:c r="E6" s="13" t="n">
        <x:v>2</x:v>
      </x:c>
      <x:c r="F6" s="13" t="n">
        <x:v>13</x:v>
      </x:c>
      <x:c r="G6" s="13" t="n">
        <x:f>SUM(D6:F6)</x:f>
        <x:v>22</x:v>
      </x:c>
      <x:c r="H6" s="13" t="n">
        <x:v>45</x:v>
      </x:c>
      <x:c r="I6" s="13" t="n">
        <x:v>4</x:v>
      </x:c>
      <x:c r="J6" s="13" t="n">
        <x:v>0</x:v>
      </x:c>
      <x:c r="K6" s="13" t="str">
        <x:v>high</x:v>
      </x:c>
      <x:c r="L6" s="13" t="n">
        <x:v>16</x:v>
      </x:c>
      <x:c r="M6" s="13" t="n">
        <x:v>10</x:v>
      </x:c>
      <x:c r="N6" s="13" t="n">
        <x:v>8</x:v>
      </x:c>
      <x:c r="O6" s="34" t="n">
        <x:v>0.9</x:v>
      </x:c>
      <x:c r="P6" s="13" t="str">
        <x:v>body</x:v>
      </x:c>
      <x:c r="Q6" s="13" t="n">
        <x:v>10</x:v>
      </x:c>
      <x:c r="R6" s="13" t="n">
        <x:v>16</x:v>
      </x:c>
      <x:c r="S6" s="13" t="str">
        <x:v>V1</x:v>
      </x:c>
      <x:c r="T6" s="13" t="str">
        <x:v>Proposed</x:v>
      </x:c>
      <x:c r="U6" s="13" t="str">
        <x:v>Fast check; high guard blocks; crouch evades. Hit advantage +2; block advantage -4 on first active tick.</x:v>
      </x:c>
    </x:row>
    <x:row r="7" ht="74" customHeight="1">
      <x:c r="A7" s="13" t="str">
        <x:v>body</x:v>
      </x:c>
      <x:c r="B7" s="13" t="str">
        <x:v>Body punch</x:v>
      </x:c>
      <x:c r="C7" s="13" t="str">
        <x:v>Down + J</x:v>
      </x:c>
      <x:c r="D7" s="13" t="n">
        <x:v>10</x:v>
      </x:c>
      <x:c r="E7" s="13" t="n">
        <x:v>3</x:v>
      </x:c>
      <x:c r="F7" s="13" t="n">
        <x:v>17</x:v>
      </x:c>
      <x:c r="G7" s="13" t="n">
        <x:f>SUM(D7:F7)</x:f>
        <x:v>30</x:v>
      </x:c>
      <x:c r="H7" s="13" t="n">
        <x:v>60</x:v>
      </x:c>
      <x:c r="I7" s="13" t="n">
        <x:v>6</x:v>
      </x:c>
      <x:c r="J7" s="13" t="n">
        <x:v>0</x:v>
      </x:c>
      <x:c r="K7" s="13" t="str">
        <x:v>mid</x:v>
      </x:c>
      <x:c r="L7" s="13" t="n">
        <x:v>22</x:v>
      </x:c>
      <x:c r="M7" s="13" t="n">
        <x:v>12</x:v>
      </x:c>
      <x:c r="N7" s="13" t="n">
        <x:v>11</x:v>
      </x:c>
      <x:c r="O7" s="34" t="n">
        <x:v>0.85</x:v>
      </x:c>
      <x:c r="P7" s="13" t="str">
        <x:v>heavy</x:v>
      </x:c>
      <x:c r="Q7" s="13" t="n">
        <x:v>15</x:v>
      </x:c>
      <x:c r="R7" s="13" t="n">
        <x:v>22</x:v>
      </x:c>
      <x:c r="S7" s="13" t="str">
        <x:v>V1</x:v>
      </x:c>
      <x:c r="T7" s="13" t="str">
        <x:v>Proposed</x:v>
      </x:c>
      <x:c r="U7" s="13" t="str">
        <x:v>Both guards block; whiff punishable. No automatic counter selection.</x:v>
      </x:c>
    </x:row>
    <x:row r="8" ht="74" customHeight="1">
      <x:c r="A8" s="13" t="str">
        <x:v>heavy</x:v>
      </x:c>
      <x:c r="B8" s="13" t="str">
        <x:v>Heavy cross</x:v>
      </x:c>
      <x:c r="C8" s="13" t="str">
        <x:v>K</x:v>
      </x:c>
      <x:c r="D8" s="13" t="n">
        <x:v>18</x:v>
      </x:c>
      <x:c r="E8" s="13" t="n">
        <x:v>3</x:v>
      </x:c>
      <x:c r="F8" s="13" t="n">
        <x:v>25</x:v>
      </x:c>
      <x:c r="G8" s="13" t="n">
        <x:f>SUM(D8:F8)</x:f>
        <x:v>46</x:v>
      </x:c>
      <x:c r="H8" s="13" t="n">
        <x:v>115</x:v>
      </x:c>
      <x:c r="I8" s="13" t="n">
        <x:v>12</x:v>
      </x:c>
      <x:c r="J8" s="13" t="n">
        <x:v>0</x:v>
      </x:c>
      <x:c r="K8" s="13" t="str">
        <x:v>mid</x:v>
      </x:c>
      <x:c r="L8" s="13" t="n">
        <x:v>29</x:v>
      </x:c>
      <x:c r="M8" s="13" t="n">
        <x:v>13</x:v>
      </x:c>
      <x:c r="N8" s="13" t="n">
        <x:v>21</x:v>
      </x:c>
      <x:c r="O8" s="34" t="n">
        <x:v>1.15</x:v>
      </x:c>
      <x:c r="P8" s="13" t="str"/>
      <x:c r="Q8" s="13" t="n">
        <x:v>0</x:v>
      </x:c>
      <x:c r="R8" s="13" t="n">
        <x:v>0</x:v>
      </x:c>
      <x:c r="S8" s="13" t="str">
        <x:v>V1</x:v>
      </x:c>
      <x:c r="T8" s="13" t="str">
        <x:v>Proposed</x:v>
      </x:c>
      <x:c r="U8" s="13" t="str">
        <x:v>Long commitment; no cancellation on whiff.</x:v>
      </x:c>
    </x:row>
    <x:row r="9" ht="74" customHeight="1">
      <x:c r="A9" s="13" t="str">
        <x:v>low</x:v>
      </x:c>
      <x:c r="B9" s="13" t="str">
        <x:v>Low kick</x:v>
      </x:c>
      <x:c r="C9" s="13" t="str">
        <x:v>Down + K</x:v>
      </x:c>
      <x:c r="D9" s="13" t="n">
        <x:v>14</x:v>
      </x:c>
      <x:c r="E9" s="13" t="n">
        <x:v>3</x:v>
      </x:c>
      <x:c r="F9" s="13" t="n">
        <x:v>23</x:v>
      </x:c>
      <x:c r="G9" s="13" t="n">
        <x:f>SUM(D9:F9)</x:f>
        <x:v>40</x:v>
      </x:c>
      <x:c r="H9" s="13" t="n">
        <x:v>65</x:v>
      </x:c>
      <x:c r="I9" s="13" t="n">
        <x:v>8</x:v>
      </x:c>
      <x:c r="J9" s="13" t="n">
        <x:v>0</x:v>
      </x:c>
      <x:c r="K9" s="13" t="str">
        <x:v>low</x:v>
      </x:c>
      <x:c r="L9" s="13" t="n">
        <x:v>24</x:v>
      </x:c>
      <x:c r="M9" s="13" t="n">
        <x:v>13</x:v>
      </x:c>
      <x:c r="N9" s="13" t="n">
        <x:v>12</x:v>
      </x:c>
      <x:c r="O9" s="34" t="n">
        <x:v>1.25</x:v>
      </x:c>
      <x:c r="P9" s="13" t="str"/>
      <x:c r="Q9" s="13" t="n">
        <x:v>0</x:v>
      </x:c>
      <x:c r="R9" s="13" t="n">
        <x:v>0</x:v>
      </x:c>
      <x:c r="S9" s="13" t="str">
        <x:v>V1</x:v>
      </x:c>
      <x:c r="T9" s="13" t="str">
        <x:v>Proposed</x:v>
      </x:c>
      <x:c r="U9" s="13" t="str">
        <x:v>Low guard required; standing guard loses to low.</x:v>
      </x:c>
    </x:row>
    <x:row r="10" ht="74" customHeight="1">
      <x:c r="A10" s="13" t="str">
        <x:v>overhead</x:v>
      </x:c>
      <x:c r="B10" s="13" t="str">
        <x:v>Overhead strike</x:v>
      </x:c>
      <x:c r="C10" s="13" t="str">
        <x:v>Forward + K</x:v>
      </x:c>
      <x:c r="D10" s="13" t="n">
        <x:v>24</x:v>
      </x:c>
      <x:c r="E10" s="13" t="n">
        <x:v>3</x:v>
      </x:c>
      <x:c r="F10" s="13" t="n">
        <x:v>26</x:v>
      </x:c>
      <x:c r="G10" s="13" t="n">
        <x:f>SUM(D10:F10)</x:f>
        <x:v>53</x:v>
      </x:c>
      <x:c r="H10" s="13" t="n">
        <x:v>100</x:v>
      </x:c>
      <x:c r="I10" s="13" t="n">
        <x:v>13</x:v>
      </x:c>
      <x:c r="J10" s="13" t="n">
        <x:v>0</x:v>
      </x:c>
      <x:c r="K10" s="13" t="str">
        <x:v>overhead</x:v>
      </x:c>
      <x:c r="L10" s="13" t="n">
        <x:v>30</x:v>
      </x:c>
      <x:c r="M10" s="13" t="n">
        <x:v>15</x:v>
      </x:c>
      <x:c r="N10" s="13" t="n">
        <x:v>18</x:v>
      </x:c>
      <x:c r="O10" s="34" t="n">
        <x:v>1.05</x:v>
      </x:c>
      <x:c r="P10" s="13" t="str"/>
      <x:c r="Q10" s="13" t="n">
        <x:v>0</x:v>
      </x:c>
      <x:c r="R10" s="13" t="n">
        <x:v>0</x:v>
      </x:c>
      <x:c r="S10" s="13" t="str">
        <x:v>V1</x:v>
      </x:c>
      <x:c r="T10" s="13" t="str">
        <x:v>Proposed</x:v>
      </x:c>
      <x:c r="U10" s="13" t="str">
        <x:v>Standing guard required; visibly distinct wind-up.</x:v>
      </x:c>
    </x:row>
    <x:row r="11" ht="74" customHeight="1">
      <x:c r="A11" s="13" t="str">
        <x:v>anti_air</x:v>
      </x:c>
      <x:c r="B11" s="13" t="str">
        <x:v>Rising strike</x:v>
      </x:c>
      <x:c r="C11" s="13" t="str">
        <x:v>Forward + J</x:v>
      </x:c>
      <x:c r="D11" s="13" t="n">
        <x:v>12</x:v>
      </x:c>
      <x:c r="E11" s="13" t="n">
        <x:v>4</x:v>
      </x:c>
      <x:c r="F11" s="13" t="n">
        <x:v>25</x:v>
      </x:c>
      <x:c r="G11" s="13" t="n">
        <x:f>SUM(D11:F11)</x:f>
        <x:v>41</x:v>
      </x:c>
      <x:c r="H11" s="13" t="n">
        <x:v>85</x:v>
      </x:c>
      <x:c r="I11" s="13" t="n">
        <x:v>10</x:v>
      </x:c>
      <x:c r="J11" s="13" t="n">
        <x:v>0</x:v>
      </x:c>
      <x:c r="K11" s="13" t="str">
        <x:v>mid</x:v>
      </x:c>
      <x:c r="L11" s="13" t="n">
        <x:v>30</x:v>
      </x:c>
      <x:c r="M11" s="13" t="n">
        <x:v>13</x:v>
      </x:c>
      <x:c r="N11" s="13" t="n">
        <x:v>15</x:v>
      </x:c>
      <x:c r="O11" s="34" t="n">
        <x:v>0.95</x:v>
      </x:c>
      <x:c r="P11" s="13" t="str"/>
      <x:c r="Q11" s="13" t="n">
        <x:v>0</x:v>
      </x:c>
      <x:c r="R11" s="13" t="n">
        <x:v>0</x:v>
      </x:c>
      <x:c r="S11" s="13" t="str">
        <x:v>V1</x:v>
      </x:c>
      <x:c r="T11" s="13" t="str">
        <x:v>Proposed</x:v>
      </x:c>
      <x:c r="U11" s="13" t="str">
        <x:v>Airborne hit triggers knockdown; no universal invulnerability.</x:v>
      </x:c>
    </x:row>
    <x:row r="12" ht="74" customHeight="1">
      <x:c r="A12" s="13" t="str">
        <x:v>air_kick</x:v>
      </x:c>
      <x:c r="B12" s="13" t="str">
        <x:v>Air kick</x:v>
      </x:c>
      <x:c r="C12" s="13" t="str">
        <x:v>K while airborne</x:v>
      </x:c>
      <x:c r="D12" s="13" t="n">
        <x:v>10</x:v>
      </x:c>
      <x:c r="E12" s="13" t="n">
        <x:v>4</x:v>
      </x:c>
      <x:c r="F12" s="13" t="n">
        <x:v>18</x:v>
      </x:c>
      <x:c r="G12" s="13" t="n">
        <x:f>SUM(D12:F12)</x:f>
        <x:v>32</x:v>
      </x:c>
      <x:c r="H12" s="13" t="n">
        <x:v>70</x:v>
      </x:c>
      <x:c r="I12" s="13" t="n">
        <x:v>8</x:v>
      </x:c>
      <x:c r="J12" s="13" t="n">
        <x:v>0</x:v>
      </x:c>
      <x:c r="K12" s="13" t="str">
        <x:v>overhead</x:v>
      </x:c>
      <x:c r="L12" s="13" t="n">
        <x:v>23</x:v>
      </x:c>
      <x:c r="M12" s="13" t="n">
        <x:v>13</x:v>
      </x:c>
      <x:c r="N12" s="13" t="n">
        <x:v>13</x:v>
      </x:c>
      <x:c r="O12" s="34" t="n">
        <x:v>1.15</x:v>
      </x:c>
      <x:c r="P12" s="13" t="str"/>
      <x:c r="Q12" s="13" t="n">
        <x:v>0</x:v>
      </x:c>
      <x:c r="R12" s="13" t="n">
        <x:v>0</x:v>
      </x:c>
      <x:c r="S12" s="13" t="str">
        <x:v>V1</x:v>
      </x:c>
      <x:c r="T12" s="13" t="str">
        <x:v>Proposed</x:v>
      </x:c>
      <x:c r="U12" s="13" t="str">
        <x:v>One per jump; recovery runs in air; landing adds max(remaining,6) recovery ticks.</x:v>
      </x:c>
    </x:row>
    <x:row r="13" ht="74" customHeight="1">
      <x:c r="A13" s="13" t="str">
        <x:v>throw</x:v>
      </x:c>
      <x:c r="B13" s="13" t="str">
        <x:v>Conference throw</x:v>
      </x:c>
      <x:c r="C13" s="13" t="str">
        <x:v>U at close range</x:v>
      </x:c>
      <x:c r="D13" s="13" t="n">
        <x:v>12</x:v>
      </x:c>
      <x:c r="E13" s="13" t="n">
        <x:v>2</x:v>
      </x:c>
      <x:c r="F13" s="13" t="n">
        <x:v>30</x:v>
      </x:c>
      <x:c r="G13" s="13" t="n">
        <x:f>SUM(D13:F13)</x:f>
        <x:v>44</x:v>
      </x:c>
      <x:c r="H13" s="13" t="n">
        <x:v>105</x:v>
      </x:c>
      <x:c r="I13" s="13" t="n">
        <x:v>12</x:v>
      </x:c>
      <x:c r="J13" s="13" t="n">
        <x:v>0</x:v>
      </x:c>
      <x:c r="K13" s="13" t="str">
        <x:v>throw</x:v>
      </x:c>
      <x:c r="L13" s="13" t="n">
        <x:v>42</x:v>
      </x:c>
      <x:c r="M13" s="13" t="n">
        <x:v>0</x:v>
      </x:c>
      <x:c r="N13" s="13" t="n">
        <x:v>0</x:v>
      </x:c>
      <x:c r="O13" s="34" t="n">
        <x:v>0.65</x:v>
      </x:c>
      <x:c r="P13" s="13" t="str"/>
      <x:c r="Q13" s="13" t="n">
        <x:v>0</x:v>
      </x:c>
      <x:c r="R13" s="13" t="n">
        <x:v>0</x:v>
      </x:c>
      <x:c r="S13" s="13" t="str">
        <x:v>V1</x:v>
      </x:c>
      <x:c r="T13" s="13" t="str">
        <x:v>Proposed</x:v>
      </x:c>
      <x:c r="U13" s="13" t="str">
        <x:v>Requires grounded target within 0.65m; held grab-break window 12 ticks; no injury close-up.</x:v>
      </x:c>
    </x:row>
    <x:row r="14" ht="74" customHeight="1">
      <x:c r="A14" s="13" t="str">
        <x:v>throw_break</x:v>
      </x:c>
      <x:c r="B14" s="13" t="str">
        <x:v>Break throw</x:v>
      </x:c>
      <x:c r="C14" s="13" t="str">
        <x:v>U during capture window</x:v>
      </x:c>
      <x:c r="D14" s="13" t="n">
        <x:v>0</x:v>
      </x:c>
      <x:c r="E14" s="13" t="n">
        <x:v>1</x:v>
      </x:c>
      <x:c r="F14" s="13" t="n">
        <x:v>18</x:v>
      </x:c>
      <x:c r="G14" s="13" t="n">
        <x:f>SUM(D14:F14)</x:f>
        <x:v>19</x:v>
      </x:c>
      <x:c r="H14" s="13" t="n">
        <x:v>0</x:v>
      </x:c>
      <x:c r="I14" s="13" t="n">
        <x:v>0</x:v>
      </x:c>
      <x:c r="J14" s="13" t="n">
        <x:v>0</x:v>
      </x:c>
      <x:c r="K14" s="13" t="str">
        <x:v>defence</x:v>
      </x:c>
      <x:c r="L14" s="13" t="n">
        <x:v>0</x:v>
      </x:c>
      <x:c r="M14" s="13" t="n">
        <x:v>0</x:v>
      </x:c>
      <x:c r="N14" s="13" t="n">
        <x:v>0</x:v>
      </x:c>
      <x:c r="O14" s="34" t="n">
        <x:v>0</x:v>
      </x:c>
      <x:c r="P14" s="13" t="str"/>
      <x:c r="Q14" s="13" t="n">
        <x:v>0</x:v>
      </x:c>
      <x:c r="R14" s="13" t="n">
        <x:v>0</x:v>
      </x:c>
      <x:c r="S14" s="13" t="str">
        <x:v>V1</x:v>
      </x:c>
      <x:c r="T14" s="13" t="str">
        <x:v>Proposed</x:v>
      </x:c>
      <x:c r="U14" s="13" t="str">
        <x:v>Both return to neutral at separated anchors. Available only during a telegraphed capture.</x:v>
      </x:c>
    </x:row>
    <x:row r="15" ht="74" customHeight="1">
      <x:c r="A15" s="13" t="str">
        <x:v>parry</x:v>
      </x:c>
      <x:c r="B15" s="13" t="str">
        <x:v>Veto parry</x:v>
      </x:c>
      <x:c r="C15" s="13" t="str">
        <x:v>I</x:v>
      </x:c>
      <x:c r="D15" s="13" t="n">
        <x:v>3</x:v>
      </x:c>
      <x:c r="E15" s="13" t="n">
        <x:v>5</x:v>
      </x:c>
      <x:c r="F15" s="13" t="n">
        <x:v>24</x:v>
      </x:c>
      <x:c r="G15" s="13" t="n">
        <x:f>SUM(D15:F15)</x:f>
        <x:v>32</x:v>
      </x:c>
      <x:c r="H15" s="13" t="n">
        <x:v>0</x:v>
      </x:c>
      <x:c r="I15" s="13" t="n">
        <x:v>10</x:v>
      </x:c>
      <x:c r="J15" s="13" t="n">
        <x:v>0</x:v>
      </x:c>
      <x:c r="K15" s="13" t="str">
        <x:v>defence</x:v>
      </x:c>
      <x:c r="L15" s="13" t="n">
        <x:v>0</x:v>
      </x:c>
      <x:c r="M15" s="13" t="n">
        <x:v>0</x:v>
      </x:c>
      <x:c r="N15" s="13" t="n">
        <x:v>0</x:v>
      </x:c>
      <x:c r="O15" s="34" t="n">
        <x:v>0</x:v>
      </x:c>
      <x:c r="P15" s="13" t="str"/>
      <x:c r="Q15" s="13" t="n">
        <x:v>0</x:v>
      </x:c>
      <x:c r="R15" s="13" t="n">
        <x:v>0</x:v>
      </x:c>
      <x:c r="S15" s="13" t="str">
        <x:v>V1</x:v>
      </x:c>
      <x:c r="T15" s="13" t="str">
        <x:v>Proposed</x:v>
      </x:c>
      <x:c r="U15" s="13" t="str">
        <x:v>Catches mid/high/overhead only; excludes low and throw. Success adds 24-tick attacker stagger and 8-tick defender recovery.</x:v>
      </x:c>
    </x:row>
    <x:row r="16" ht="74" customHeight="1">
      <x:c r="A16" s="13" t="str">
        <x:v>special_veto</x:v>
      </x:c>
      <x:c r="B16" s="13" t="str">
        <x:v>Diplomatic shield</x:v>
      </x:c>
      <x:c r="C16" s="13" t="str">
        <x:v>O with shield equipped</x:v>
      </x:c>
      <x:c r="D16" s="13" t="n">
        <x:v>8</x:v>
      </x:c>
      <x:c r="E16" s="13" t="n">
        <x:v>30</x:v>
      </x:c>
      <x:c r="F16" s="13" t="n">
        <x:v>18</x:v>
      </x:c>
      <x:c r="G16" s="13" t="n">
        <x:f>SUM(D16:F16)</x:f>
        <x:v>56</x:v>
      </x:c>
      <x:c r="H16" s="13" t="n">
        <x:v>0</x:v>
      </x:c>
      <x:c r="I16" s="13" t="n">
        <x:v>0</x:v>
      </x:c>
      <x:c r="J16" s="13" t="n">
        <x:v>100</x:v>
      </x:c>
      <x:c r="K16" s="13" t="str">
        <x:v>special</x:v>
      </x:c>
      <x:c r="L16" s="13" t="n">
        <x:v>0</x:v>
      </x:c>
      <x:c r="M16" s="13" t="n">
        <x:v>0</x:v>
      </x:c>
      <x:c r="N16" s="13" t="n">
        <x:v>0</x:v>
      </x:c>
      <x:c r="O16" s="34" t="n">
        <x:v>0</x:v>
      </x:c>
      <x:c r="P16" s="13" t="str"/>
      <x:c r="Q16" s="13" t="n">
        <x:v>0</x:v>
      </x:c>
      <x:c r="R16" s="13" t="n">
        <x:v>0</x:v>
      </x:c>
      <x:c r="S16" s="13" t="str">
        <x:v>V1</x:v>
      </x:c>
      <x:c r="T16" s="13" t="str">
        <x:v>Proposed</x:v>
      </x:c>
      <x:c r="U16" s="13" t="str">
        <x:v>Absorbs one non-throw hit during active window; expires after hit. On absorption both recover for 12 ticks; no extra damage.</x:v>
      </x:c>
    </x:row>
    <x:row r="17" ht="74" customHeight="1">
      <x:c r="A17" s="13" t="str">
        <x:v>special_papers</x:v>
      </x:c>
      <x:c r="B17" s="13" t="str">
        <x:v>Paperwork burst</x:v>
      </x:c>
      <x:c r="C17" s="13" t="str">
        <x:v>O with papers equipped</x:v>
      </x:c>
      <x:c r="D17" s="13" t="n">
        <x:v>24</x:v>
      </x:c>
      <x:c r="E17" s="13" t="n">
        <x:v>2</x:v>
      </x:c>
      <x:c r="F17" s="13" t="n">
        <x:v>36</x:v>
      </x:c>
      <x:c r="G17" s="13" t="n">
        <x:f>SUM(D17:F17)</x:f>
        <x:v>62</x:v>
      </x:c>
      <x:c r="H17" s="13" t="n">
        <x:v>150</x:v>
      </x:c>
      <x:c r="I17" s="13" t="n">
        <x:v>15</x:v>
      </x:c>
      <x:c r="J17" s="13" t="n">
        <x:v>100</x:v>
      </x:c>
      <x:c r="K17" s="13" t="str">
        <x:v>mid</x:v>
      </x:c>
      <x:c r="L17" s="13" t="n">
        <x:v>42</x:v>
      </x:c>
      <x:c r="M17" s="13" t="n">
        <x:v>18</x:v>
      </x:c>
      <x:c r="N17" s="13" t="n">
        <x:v>27</x:v>
      </x:c>
      <x:c r="O17" s="34" t="n">
        <x:v>1.4</x:v>
      </x:c>
      <x:c r="P17" s="13" t="str"/>
      <x:c r="Q17" s="13" t="n">
        <x:v>0</x:v>
      </x:c>
      <x:c r="R17" s="13" t="n">
        <x:v>0</x:v>
      </x:c>
      <x:c r="S17" s="13" t="str">
        <x:v>V1</x:v>
      </x:c>
      <x:c r="T17" s="13" t="str">
        <x:v>Proposed</x:v>
      </x:c>
      <x:c r="U17" s="13" t="str">
        <x:v>Single short-range hit at 1.4m; paper particles are cosmetic; no projectile simulation in V1.</x:v>
      </x:c>
    </x:row>
    <x:row r="18" ht="74" customHeight="1">
      <x:c r="A18" s="13" t="str">
        <x:v>special_summit</x:v>
      </x:c>
      <x:c r="B18" s="13" t="str">
        <x:v>Summit adjourned</x:v>
      </x:c>
      <x:c r="C18" s="13" t="str">
        <x:v>O with summit equipped</x:v>
      </x:c>
      <x:c r="D18" s="13" t="n">
        <x:v>28</x:v>
      </x:c>
      <x:c r="E18" s="13" t="n">
        <x:v>3</x:v>
      </x:c>
      <x:c r="F18" s="13" t="n">
        <x:v>40</x:v>
      </x:c>
      <x:c r="G18" s="13" t="n">
        <x:f>SUM(D18:F18)</x:f>
        <x:v>71</x:v>
      </x:c>
      <x:c r="H18" s="13" t="n">
        <x:v>180</x:v>
      </x:c>
      <x:c r="I18" s="13" t="n">
        <x:v>18</x:v>
      </x:c>
      <x:c r="J18" s="13" t="n">
        <x:v>100</x:v>
      </x:c>
      <x:c r="K18" s="13" t="str">
        <x:v>mid</x:v>
      </x:c>
      <x:c r="L18" s="13" t="n">
        <x:v>48</x:v>
      </x:c>
      <x:c r="M18" s="13" t="n">
        <x:v>19</x:v>
      </x:c>
      <x:c r="N18" s="13" t="n">
        <x:v>32</x:v>
      </x:c>
      <x:c r="O18" s="34" t="n">
        <x:v>1.8</x:v>
      </x:c>
      <x:c r="P18" s="13" t="str"/>
      <x:c r="Q18" s="13" t="n">
        <x:v>0</x:v>
      </x:c>
      <x:c r="R18" s="13" t="n">
        <x:v>0</x:v>
      </x:c>
      <x:c r="S18" s="13" t="str">
        <x:v>V2</x:v>
      </x:c>
      <x:c r="T18" s="13" t="str">
        <x:v>Proposed</x:v>
      </x:c>
      <x:c r="U18" s="13" t="str">
        <x:v>Short lunge capped at 0.9m; scripted recovery pose; no camera cut until move resolves. V2 content.</x:v>
      </x:c>
    </x:row>
    <x:row r="19" ht="74" customHeight="1">
      <x:c r="A19" s="13" t="str">
        <x:v>dash_forward</x:v>
      </x:c>
      <x:c r="B19" s="13" t="str">
        <x:v>Forward dash</x:v>
      </x:c>
      <x:c r="C19" s="13" t="str">
        <x:v>L + Forward</x:v>
      </x:c>
      <x:c r="D19" s="13" t="n">
        <x:v>0</x:v>
      </x:c>
      <x:c r="E19" s="13" t="n">
        <x:v>10</x:v>
      </x:c>
      <x:c r="F19" s="13" t="n">
        <x:v>8</x:v>
      </x:c>
      <x:c r="G19" s="13" t="n">
        <x:f>SUM(D19:F19)</x:f>
        <x:v>18</x:v>
      </x:c>
      <x:c r="H19" s="13" t="n">
        <x:v>0</x:v>
      </x:c>
      <x:c r="I19" s="13" t="n">
        <x:v>7</x:v>
      </x:c>
      <x:c r="J19" s="13" t="n">
        <x:v>0</x:v>
      </x:c>
      <x:c r="K19" s="13" t="str">
        <x:v>movement</x:v>
      </x:c>
      <x:c r="L19" s="13" t="n">
        <x:v>0</x:v>
      </x:c>
      <x:c r="M19" s="13" t="n">
        <x:v>0</x:v>
      </x:c>
      <x:c r="N19" s="13" t="n">
        <x:v>0</x:v>
      </x:c>
      <x:c r="O19" s="34" t="n">
        <x:v>0</x:v>
      </x:c>
      <x:c r="P19" s="13" t="str"/>
      <x:c r="Q19" s="13" t="n">
        <x:v>0</x:v>
      </x:c>
      <x:c r="R19" s="13" t="n">
        <x:v>0</x:v>
      </x:c>
      <x:c r="S19" s="13" t="str">
        <x:v>V1</x:v>
      </x:c>
      <x:c r="T19" s="13" t="str">
        <x:v>Proposed</x:v>
      </x:c>
      <x:c r="U19" s="13" t="str">
        <x:v>0.8m displacement; no invulnerability; canonical root curve.</x:v>
      </x:c>
    </x:row>
    <x:row r="20" ht="74" customHeight="1">
      <x:c r="A20" s="13" t="str">
        <x:v>dash_back</x:v>
      </x:c>
      <x:c r="B20" s="13" t="str">
        <x:v>Back dash</x:v>
      </x:c>
      <x:c r="C20" s="13" t="str">
        <x:v>L + Back</x:v>
      </x:c>
      <x:c r="D20" s="13" t="n">
        <x:v>0</x:v>
      </x:c>
      <x:c r="E20" s="13" t="n">
        <x:v>10</x:v>
      </x:c>
      <x:c r="F20" s="13" t="n">
        <x:v>10</x:v>
      </x:c>
      <x:c r="G20" s="13" t="n">
        <x:f>SUM(D20:F20)</x:f>
        <x:v>20</x:v>
      </x:c>
      <x:c r="H20" s="13" t="n">
        <x:v>0</x:v>
      </x:c>
      <x:c r="I20" s="13" t="n">
        <x:v>8</x:v>
      </x:c>
      <x:c r="J20" s="13" t="n">
        <x:v>0</x:v>
      </x:c>
      <x:c r="K20" s="13" t="str">
        <x:v>movement</x:v>
      </x:c>
      <x:c r="L20" s="13" t="n">
        <x:v>0</x:v>
      </x:c>
      <x:c r="M20" s="13" t="n">
        <x:v>0</x:v>
      </x:c>
      <x:c r="N20" s="13" t="n">
        <x:v>0</x:v>
      </x:c>
      <x:c r="O20" s="34" t="n">
        <x:v>0</x:v>
      </x:c>
      <x:c r="P20" s="13" t="str"/>
      <x:c r="Q20" s="13" t="n">
        <x:v>0</x:v>
      </x:c>
      <x:c r="R20" s="13" t="n">
        <x:v>0</x:v>
      </x:c>
      <x:c r="S20" s="13" t="str">
        <x:v>V1</x:v>
      </x:c>
      <x:c r="T20" s="13" t="str">
        <x:v>Proposed</x:v>
      </x:c>
      <x:c r="U20" s="13" t="str">
        <x:v>0.75m retreat; no invulnerability; collision and arena bounds still apply.</x:v>
      </x:c>
    </x:row>
    <x:row r="21" ht="74" customHeight="1">
      <x:c r="A21" s="13" t="str">
        <x:v>jump</x:v>
      </x:c>
      <x:c r="B21" s="13" t="str">
        <x:v>Jump</x:v>
      </x:c>
      <x:c r="C21" s="13" t="str">
        <x:v>W</x:v>
      </x:c>
      <x:c r="D21" s="13" t="n">
        <x:v>4</x:v>
      </x:c>
      <x:c r="E21" s="13" t="n">
        <x:v>32</x:v>
      </x:c>
      <x:c r="F21" s="13" t="n">
        <x:v>8</x:v>
      </x:c>
      <x:c r="G21" s="13" t="n">
        <x:f>SUM(D21:F21)</x:f>
        <x:v>44</x:v>
      </x:c>
      <x:c r="H21" s="13" t="n">
        <x:v>0</x:v>
      </x:c>
      <x:c r="I21" s="13" t="n">
        <x:v>5</x:v>
      </x:c>
      <x:c r="J21" s="13" t="n">
        <x:v>0</x:v>
      </x:c>
      <x:c r="K21" s="13" t="str">
        <x:v>movement</x:v>
      </x:c>
      <x:c r="L21" s="13" t="n">
        <x:v>0</x:v>
      </x:c>
      <x:c r="M21" s="13" t="n">
        <x:v>0</x:v>
      </x:c>
      <x:c r="N21" s="13" t="n">
        <x:v>0</x:v>
      </x:c>
      <x:c r="O21" s="34" t="n">
        <x:v>0</x:v>
      </x:c>
      <x:c r="P21" s="13" t="str"/>
      <x:c r="Q21" s="13" t="n">
        <x:v>0</x:v>
      </x:c>
      <x:c r="R21" s="13" t="n">
        <x:v>0</x:v>
      </x:c>
      <x:c r="S21" s="13" t="str">
        <x:v>V1</x:v>
      </x:c>
      <x:c r="T21" s="13" t="str">
        <x:v>Proposed</x:v>
      </x:c>
      <x:c r="U21" s="13" t="str">
        <x:v>32-tick flight; 0.9m peak; lateral travel up to 0.8m from held direction; no double jump.</x:v>
      </x:c>
    </x:row>
    <x:row r="22" ht="74" customHeight="1">
      <x:c r="A22" s="13" t="str">
        <x:v>guard_high</x:v>
      </x:c>
      <x:c r="B22" s="13" t="str">
        <x:v>High guard</x:v>
      </x:c>
      <x:c r="C22" s="13" t="str">
        <x:v>Space</x:v>
      </x:c>
      <x:c r="D22" s="13" t="n">
        <x:v>1</x:v>
      </x:c>
      <x:c r="E22" s="13" t="n">
        <x:v>1</x:v>
      </x:c>
      <x:c r="F22" s="13" t="n">
        <x:v>4</x:v>
      </x:c>
      <x:c r="G22" s="13" t="n">
        <x:f>SUM(D22:F22)</x:f>
        <x:v>6</x:v>
      </x:c>
      <x:c r="H22" s="13" t="n">
        <x:v>0</x:v>
      </x:c>
      <x:c r="I22" s="13" t="n">
        <x:v>0</x:v>
      </x:c>
      <x:c r="J22" s="13" t="n">
        <x:v>0</x:v>
      </x:c>
      <x:c r="K22" s="13" t="str">
        <x:v>defence</x:v>
      </x:c>
      <x:c r="L22" s="13" t="n">
        <x:v>0</x:v>
      </x:c>
      <x:c r="M22" s="13" t="n">
        <x:v>0</x:v>
      </x:c>
      <x:c r="N22" s="13" t="n">
        <x:v>0</x:v>
      </x:c>
      <x:c r="O22" s="34" t="n">
        <x:v>0</x:v>
      </x:c>
      <x:c r="P22" s="13" t="str"/>
      <x:c r="Q22" s="13" t="n">
        <x:v>0</x:v>
      </x:c>
      <x:c r="R22" s="13" t="n">
        <x:v>0</x:v>
      </x:c>
      <x:c r="S22" s="13" t="str">
        <x:v>V1</x:v>
      </x:c>
      <x:c r="T22" s="13" t="str">
        <x:v>Proposed</x:v>
      </x:c>
      <x:c r="U22" s="13" t="str">
        <x:v>Active phase loops while held; regenerates stamina at 8/s; blocks high/mid/overhead.</x:v>
      </x:c>
    </x:row>
    <x:row r="23" ht="74" customHeight="1">
      <x:c r="A23" s="13" t="str">
        <x:v>guard_low</x:v>
      </x:c>
      <x:c r="B23" s="13" t="str">
        <x:v>Low guard</x:v>
      </x:c>
      <x:c r="C23" s="13" t="str">
        <x:v>Space + Down</x:v>
      </x:c>
      <x:c r="D23" s="13" t="n">
        <x:v>2</x:v>
      </x:c>
      <x:c r="E23" s="13" t="n">
        <x:v>1</x:v>
      </x:c>
      <x:c r="F23" s="13" t="n">
        <x:v>5</x:v>
      </x:c>
      <x:c r="G23" s="13" t="n">
        <x:f>SUM(D23:F23)</x:f>
        <x:v>8</x:v>
      </x:c>
      <x:c r="H23" s="13" t="n">
        <x:v>0</x:v>
      </x:c>
      <x:c r="I23" s="13" t="n">
        <x:v>0</x:v>
      </x:c>
      <x:c r="J23" s="13" t="n">
        <x:v>0</x:v>
      </x:c>
      <x:c r="K23" s="13" t="str">
        <x:v>defence</x:v>
      </x:c>
      <x:c r="L23" s="13" t="n">
        <x:v>0</x:v>
      </x:c>
      <x:c r="M23" s="13" t="n">
        <x:v>0</x:v>
      </x:c>
      <x:c r="N23" s="13" t="n">
        <x:v>0</x:v>
      </x:c>
      <x:c r="O23" s="34" t="n">
        <x:v>0</x:v>
      </x:c>
      <x:c r="P23" s="13" t="str"/>
      <x:c r="Q23" s="13" t="n">
        <x:v>0</x:v>
      </x:c>
      <x:c r="R23" s="13" t="n">
        <x:v>0</x:v>
      </x:c>
      <x:c r="S23" s="13" t="str">
        <x:v>V1</x:v>
      </x:c>
      <x:c r="T23" s="13" t="str">
        <x:v>Proposed</x:v>
      </x:c>
      <x:c r="U23" s="13" t="str">
        <x:v>Active phase loops while held; blocks low/mid; exposes overhead.</x:v>
      </x:c>
    </x:row>
    <x:row r="24" ht="74" customHeight="1">
      <x:c r="A24" s="13" t="str">
        <x:v>advance</x:v>
      </x:c>
      <x:c r="B24" s="13" t="str">
        <x:v>Advance</x:v>
      </x:c>
      <x:c r="C24" s="13" t="str">
        <x:v>D or A towards opponent</x:v>
      </x:c>
      <x:c r="D24" s="13" t="n">
        <x:v>0</x:v>
      </x:c>
      <x:c r="E24" s="13" t="n">
        <x:v>1</x:v>
      </x:c>
      <x:c r="F24" s="13" t="n">
        <x:v>0</x:v>
      </x:c>
      <x:c r="G24" s="13" t="n">
        <x:f>SUM(D24:F24)</x:f>
        <x:v>1</x:v>
      </x:c>
      <x:c r="H24" s="13" t="n">
        <x:v>0</x:v>
      </x:c>
      <x:c r="I24" s="13" t="n">
        <x:v>0</x:v>
      </x:c>
      <x:c r="J24" s="13" t="n">
        <x:v>0</x:v>
      </x:c>
      <x:c r="K24" s="13" t="str">
        <x:v>movement</x:v>
      </x:c>
      <x:c r="L24" s="13" t="n">
        <x:v>0</x:v>
      </x:c>
      <x:c r="M24" s="13" t="n">
        <x:v>0</x:v>
      </x:c>
      <x:c r="N24" s="13" t="n">
        <x:v>0</x:v>
      </x:c>
      <x:c r="O24" s="34" t="n">
        <x:v>0</x:v>
      </x:c>
      <x:c r="P24" s="13" t="str"/>
      <x:c r="Q24" s="13" t="n">
        <x:v>0</x:v>
      </x:c>
      <x:c r="R24" s="13" t="n">
        <x:v>0</x:v>
      </x:c>
      <x:c r="S24" s="13" t="str">
        <x:v>V1</x:v>
      </x:c>
      <x:c r="T24" s="13" t="str">
        <x:v>Proposed</x:v>
      </x:c>
      <x:c r="U24" s="13" t="str">
        <x:v>Held state; 1.8m/s; ends on release, collision, or higher-priority legal input.</x:v>
      </x:c>
    </x:row>
    <x:row r="25" ht="74" customHeight="1">
      <x:c r="A25" s="13" t="str">
        <x:v>retreat</x:v>
      </x:c>
      <x:c r="B25" s="13" t="str">
        <x:v>Retreat</x:v>
      </x:c>
      <x:c r="C25" s="13" t="str">
        <x:v>A or D away from opponent</x:v>
      </x:c>
      <x:c r="D25" s="13" t="n">
        <x:v>0</x:v>
      </x:c>
      <x:c r="E25" s="13" t="n">
        <x:v>1</x:v>
      </x:c>
      <x:c r="F25" s="13" t="n">
        <x:v>0</x:v>
      </x:c>
      <x:c r="G25" s="13" t="n">
        <x:f>SUM(D25:F25)</x:f>
        <x:v>1</x:v>
      </x:c>
      <x:c r="H25" s="13" t="n">
        <x:v>0</x:v>
      </x:c>
      <x:c r="I25" s="13" t="n">
        <x:v>0</x:v>
      </x:c>
      <x:c r="J25" s="13" t="n">
        <x:v>0</x:v>
      </x:c>
      <x:c r="K25" s="13" t="str">
        <x:v>movement</x:v>
      </x:c>
      <x:c r="L25" s="13" t="n">
        <x:v>0</x:v>
      </x:c>
      <x:c r="M25" s="13" t="n">
        <x:v>0</x:v>
      </x:c>
      <x:c r="N25" s="13" t="n">
        <x:v>0</x:v>
      </x:c>
      <x:c r="O25" s="34" t="n">
        <x:v>0</x:v>
      </x:c>
      <x:c r="P25" s="13" t="str"/>
      <x:c r="Q25" s="13" t="n">
        <x:v>0</x:v>
      </x:c>
      <x:c r="R25" s="13" t="n">
        <x:v>0</x:v>
      </x:c>
      <x:c r="S25" s="13" t="str">
        <x:v>V1</x:v>
      </x:c>
      <x:c r="T25" s="13" t="str">
        <x:v>Proposed</x:v>
      </x:c>
      <x:c r="U25" s="13" t="str">
        <x:v>Held state; 1.45m/s; cannot exit arena.</x:v>
      </x:c>
    </x:row>
    <x:row r="26" ht="74" customHeight="1">
      <x:c r="A26" s="13" t="str">
        <x:v>crouch</x:v>
      </x:c>
      <x:c r="B26" s="13" t="str">
        <x:v>Crouch</x:v>
      </x:c>
      <x:c r="C26" s="13" t="str">
        <x:v>S</x:v>
      </x:c>
      <x:c r="D26" s="13" t="n">
        <x:v>2</x:v>
      </x:c>
      <x:c r="E26" s="13" t="n">
        <x:v>1</x:v>
      </x:c>
      <x:c r="F26" s="13" t="n">
        <x:v>4</x:v>
      </x:c>
      <x:c r="G26" s="13" t="n">
        <x:f>SUM(D26:F26)</x:f>
        <x:v>7</x:v>
      </x:c>
      <x:c r="H26" s="13" t="n">
        <x:v>0</x:v>
      </x:c>
      <x:c r="I26" s="13" t="n">
        <x:v>0</x:v>
      </x:c>
      <x:c r="J26" s="13" t="n">
        <x:v>0</x:v>
      </x:c>
      <x:c r="K26" s="13" t="str">
        <x:v>movement</x:v>
      </x:c>
      <x:c r="L26" s="13" t="n">
        <x:v>0</x:v>
      </x:c>
      <x:c r="M26" s="13" t="n">
        <x:v>0</x:v>
      </x:c>
      <x:c r="N26" s="13" t="n">
        <x:v>0</x:v>
      </x:c>
      <x:c r="O26" s="34" t="n">
        <x:v>0</x:v>
      </x:c>
      <x:c r="P26" s="13" t="str"/>
      <x:c r="Q26" s="13" t="n">
        <x:v>0</x:v>
      </x:c>
      <x:c r="R26" s="13" t="n">
        <x:v>0</x:v>
      </x:c>
      <x:c r="S26" s="13" t="str">
        <x:v>V1</x:v>
      </x:c>
      <x:c r="T26" s="13" t="str">
        <x:v>Proposed</x:v>
      </x:c>
      <x:c r="U26" s="13" t="str">
        <x:v>Active phase loops; high attacks pass above canonical head volume; does not block automatically.</x:v>
      </x:c>
    </x:row>
    <x:row r="27" ht="74" customHeight="1">
      <x:c r="A27" s="13" t="str">
        <x:v>idle</x:v>
      </x:c>
      <x:c r="B27" s="13" t="str">
        <x:v>Neutral idle</x:v>
      </x:c>
      <x:c r="C27" s="13" t="str">
        <x:v>Release controls</x:v>
      </x:c>
      <x:c r="D27" s="13" t="n">
        <x:v>0</x:v>
      </x:c>
      <x:c r="E27" s="13" t="n">
        <x:v>1</x:v>
      </x:c>
      <x:c r="F27" s="13" t="n">
        <x:v>0</x:v>
      </x:c>
      <x:c r="G27" s="13" t="n">
        <x:f>SUM(D27:F27)</x:f>
        <x:v>1</x:v>
      </x:c>
      <x:c r="H27" s="13" t="n">
        <x:v>0</x:v>
      </x:c>
      <x:c r="I27" s="13" t="n">
        <x:v>0</x:v>
      </x:c>
      <x:c r="J27" s="13" t="n">
        <x:v>0</x:v>
      </x:c>
      <x:c r="K27" s="13" t="str">
        <x:v>neutral</x:v>
      </x:c>
      <x:c r="L27" s="13" t="n">
        <x:v>0</x:v>
      </x:c>
      <x:c r="M27" s="13" t="n">
        <x:v>0</x:v>
      </x:c>
      <x:c r="N27" s="13" t="n">
        <x:v>0</x:v>
      </x:c>
      <x:c r="O27" s="34" t="n">
        <x:v>0</x:v>
      </x:c>
      <x:c r="P27" s="13" t="str"/>
      <x:c r="Q27" s="13" t="n">
        <x:v>0</x:v>
      </x:c>
      <x:c r="R27" s="13" t="n">
        <x:v>0</x:v>
      </x:c>
      <x:c r="S27" s="13" t="str">
        <x:v>V1</x:v>
      </x:c>
      <x:c r="T27" s="13" t="str">
        <x:v>Proposed</x:v>
      </x:c>
      <x:c r="U27" s="13" t="str">
        <x:v>Loop; guaranteed legal fallback when actor is neutral. Never overrides hitstun.</x:v>
      </x:c>
    </x:row>
  </x:sheetData>
  <x:mergeCells>
    <x:mergeCell ref="A1:U1"/>
    <x:mergeCell ref="A2:U3"/>
  </x:mergeCells>
  <x:pageMargins left="0.7" right="0.7" top="0.75" bottom="0.75" header="0.3" footer="0.3"/>
  <x:tableParts count="1">
    <x:tablePart xmlns:r="http://schemas.openxmlformats.org/officeDocument/2006/relationships" r:id="Rbd97c4c1d2314f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34" hidden="0" customWidth="1"/>
    <x:col min="4" max="4" width="12" hidden="0" customWidth="1"/>
    <x:col min="5" max="5" width="9" hidden="0" customWidth="1"/>
    <x:col min="6" max="6" width="20" hidden="0" customWidth="1"/>
    <x:col min="7" max="7" width="18" hidden="0" customWidth="1"/>
    <x:col min="8" max="8" width="40" hidden="0" customWidth="1"/>
    <x:col min="9" max="9" width="36" hidden="0" customWidth="1"/>
  </x:cols>
  <x:sheetData>
    <x:row r="1" ht="30" customHeight="1">
      <x:c r="A1" s="3" t="str">
        <x:v>SUMMIT SHOWDOWN  /  REQUIREMENTS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8" t="str">
        <x:v>58 must-have requirements. Record an evidence path only after the implementation and review have actually occurred.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5" ht="34" customHeight="1">
      <x:c r="A5" s="19" t="str">
        <x:v>Requirement ID</x:v>
      </x:c>
      <x:c r="B5" s="19" t="str">
        <x:v>Category</x:v>
      </x:c>
      <x:c r="C5" s="19" t="str">
        <x:v>Requirement</x:v>
      </x:c>
      <x:c r="D5" s="19" t="str">
        <x:v>Priority</x:v>
      </x:c>
      <x:c r="E5" s="19" t="str">
        <x:v>Gate</x:v>
      </x:c>
      <x:c r="F5" s="19" t="str">
        <x:v>Owner</x:v>
      </x:c>
      <x:c r="G5" s="19" t="str">
        <x:v>Status</x:v>
      </x:c>
      <x:c r="H5" s="19" t="str">
        <x:v>Acceptance condition</x:v>
      </x:c>
      <x:c r="I5" s="19" t="str">
        <x:v>Evidence path</x:v>
      </x:c>
    </x:row>
    <x:row r="6" ht="72" customHeight="1">
      <x:c r="A6" s="13" t="str">
        <x:v>EXP-001</x:v>
      </x:c>
      <x:c r="B6" s="13" t="str">
        <x:v>Experience</x:v>
      </x:c>
      <x:c r="C6" s="13" t="str">
        <x:v>Open and play without installation</x:v>
      </x:c>
      <x:c r="D6" s="13" t="str">
        <x:v>Must</x:v>
      </x:c>
      <x:c r="E6" s="13" t="str">
        <x:v>G4</x:v>
      </x:c>
      <x:c r="F6" s="13" t="str">
        <x:v>Assign</x:v>
      </x:c>
      <x:c r="G6" s="13" t="str">
        <x:v>Not started</x:v>
      </x:c>
      <x:c r="H6" s="13" t="str">
        <x:v>A new desktop-browser visitor enters an unranked match without an account.</x:v>
      </x:c>
      <x:c r="I6" s="13" t="str"/>
    </x:row>
    <x:row r="7" ht="72" customHeight="1">
      <x:c r="A7" s="13" t="str">
        <x:v>EXP-002</x:v>
      </x:c>
      <x:c r="B7" s="13" t="str">
        <x:v>Experience</x:v>
      </x:c>
      <x:c r="C7" s="13" t="str">
        <x:v>Roster and independent loadouts</x:v>
      </x:c>
      <x:c r="D7" s="13" t="str">
        <x:v>Must</x:v>
      </x:c>
      <x:c r="E7" s="13" t="str">
        <x:v>G3</x:v>
      </x:c>
      <x:c r="F7" s="13" t="str">
        <x:v>Assign</x:v>
      </x:c>
      <x:c r="G7" s="13" t="str">
        <x:v>Not started</x:v>
      </x:c>
      <x:c r="H7" s="13" t="str">
        <x:v>All published avatars use the same mechanics and can select either V1 special.</x:v>
      </x:c>
      <x:c r="I7" s="13" t="str"/>
    </x:row>
    <x:row r="8" ht="72" customHeight="1">
      <x:c r="A8" s="13" t="str">
        <x:v>EXP-003</x:v>
      </x:c>
      <x:c r="B8" s="13" t="str">
        <x:v>Experience</x:v>
      </x:c>
      <x:c r="C8" s="13" t="str">
        <x:v>Accessible settings</x:v>
      </x:c>
      <x:c r="D8" s="13" t="str">
        <x:v>Must</x:v>
      </x:c>
      <x:c r="E8" s="13" t="str">
        <x:v>G4</x:v>
      </x:c>
      <x:c r="F8" s="13" t="str">
        <x:v>Assign</x:v>
      </x:c>
      <x:c r="G8" s="13" t="str">
        <x:v>Not started</x:v>
      </x:c>
      <x:c r="H8" s="13" t="str">
        <x:v>Keyboard user can change settings, remap keys and exit every modal.</x:v>
      </x:c>
      <x:c r="I8" s="13" t="str"/>
    </x:row>
    <x:row r="9" ht="72" customHeight="1">
      <x:c r="A9" s="13" t="str">
        <x:v>EXP-004</x:v>
      </x:c>
      <x:c r="B9" s="13" t="str">
        <x:v>Experience</x:v>
      </x:c>
      <x:c r="C9" s="13" t="str">
        <x:v>Capability fallback</x:v>
      </x:c>
      <x:c r="D9" s="13" t="str">
        <x:v>Must</x:v>
      </x:c>
      <x:c r="E9" s="13" t="str">
        <x:v>G4</x:v>
      </x:c>
      <x:c r="F9" s="13" t="str">
        <x:v>Assign</x:v>
      </x:c>
      <x:c r="G9" s="13" t="str">
        <x:v>Not started</x:v>
      </x:c>
      <x:c r="H9" s="13" t="str">
        <x:v>No WebGL 2 or no model service produces a usable explanation and alternative.</x:v>
      </x:c>
      <x:c r="I9" s="13" t="str"/>
    </x:row>
    <x:row r="10" ht="72" customHeight="1">
      <x:c r="A10" s="13" t="str">
        <x:v>EXP-005</x:v>
      </x:c>
      <x:c r="B10" s="13" t="str">
        <x:v>Experience</x:v>
      </x:c>
      <x:c r="C10" s="13" t="str">
        <x:v>Focus handling</x:v>
      </x:c>
      <x:c r="D10" s="13" t="str">
        <x:v>Must</x:v>
      </x:c>
      <x:c r="E10" s="13" t="str">
        <x:v>G1</x:v>
      </x:c>
      <x:c r="F10" s="13" t="str">
        <x:v>Assign</x:v>
      </x:c>
      <x:c r="G10" s="13" t="str">
        <x:v>Not started</x:v>
      </x:c>
      <x:c r="H10" s="13" t="str">
        <x:v>Focus loss pauses the simulation and clears held inputs.</x:v>
      </x:c>
      <x:c r="I10" s="13" t="str"/>
    </x:row>
    <x:row r="11" ht="72" customHeight="1">
      <x:c r="A11" s="13" t="str">
        <x:v>EXP-006</x:v>
      </x:c>
      <x:c r="B11" s="13" t="str">
        <x:v>Experience</x:v>
      </x:c>
      <x:c r="C11" s="13" t="str">
        <x:v>Honest readiness</x:v>
      </x:c>
      <x:c r="D11" s="13" t="str">
        <x:v>Must</x:v>
      </x:c>
      <x:c r="E11" s="13" t="str">
        <x:v>G2</x:v>
      </x:c>
      <x:c r="F11" s="13" t="str">
        <x:v>Assign</x:v>
      </x:c>
      <x:c r="G11" s="13" t="str">
        <x:v>Not started</x:v>
      </x:c>
      <x:c r="H11" s="13" t="str">
        <x:v>Warming, unavailable and at-capacity services cannot display live-ready status.</x:v>
      </x:c>
      <x:c r="I11" s="13" t="str"/>
    </x:row>
    <x:row r="12" ht="72" customHeight="1">
      <x:c r="A12" s="13" t="str">
        <x:v>COM-001</x:v>
      </x:c>
      <x:c r="B12" s="13" t="str">
        <x:v>Combat</x:v>
      </x:c>
      <x:c r="C12" s="13" t="str">
        <x:v>Fixed-step authoritative core</x:v>
      </x:c>
      <x:c r="D12" s="13" t="str">
        <x:v>Must</x:v>
      </x:c>
      <x:c r="E12" s="13" t="str">
        <x:v>G1</x:v>
      </x:c>
      <x:c r="F12" s="13" t="str">
        <x:v>Assign</x:v>
      </x:c>
      <x:c r="G12" s="13" t="str">
        <x:v>Not started</x:v>
      </x:c>
      <x:c r="H12" s="13" t="str">
        <x:v>Identical inputs and seed produce identical state checksums on tested platforms.</x:v>
      </x:c>
      <x:c r="I12" s="13" t="str"/>
    </x:row>
    <x:row r="13" ht="72" customHeight="1">
      <x:c r="A13" s="13" t="str">
        <x:v>COM-002</x:v>
      </x:c>
      <x:c r="B13" s="13" t="str">
        <x:v>Combat</x:v>
      </x:c>
      <x:c r="C13" s="13" t="str">
        <x:v>Frame boundaries</x:v>
      </x:c>
      <x:c r="D13" s="13" t="str">
        <x:v>Must</x:v>
      </x:c>
      <x:c r="E13" s="13" t="str">
        <x:v>G1</x:v>
      </x:c>
      <x:c r="F13" s="13" t="str">
        <x:v>Assign</x:v>
      </x:c>
      <x:c r="G13" s="13" t="str">
        <x:v>Not started</x:v>
      </x:c>
      <x:c r="H13" s="13" t="str">
        <x:v>Move activation and recovery match the registered S/A/R ticks.</x:v>
      </x:c>
      <x:c r="I13" s="13" t="str"/>
    </x:row>
    <x:row r="14" ht="72" customHeight="1">
      <x:c r="A14" s="13" t="str">
        <x:v>COM-003</x:v>
      </x:c>
      <x:c r="B14" s="13" t="str">
        <x:v>Combat</x:v>
      </x:c>
      <x:c r="C14" s="13" t="str">
        <x:v>Collision independence</x:v>
      </x:c>
      <x:c r="D14" s="13" t="str">
        <x:v>Must</x:v>
      </x:c>
      <x:c r="E14" s="13" t="str">
        <x:v>G1</x:v>
      </x:c>
      <x:c r="F14" s="13" t="str">
        <x:v>Assign</x:v>
      </x:c>
      <x:c r="G14" s="13" t="str">
        <x:v>Not started</x:v>
      </x:c>
      <x:c r="H14" s="13" t="str">
        <x:v>LOD, render rate and outfit changes do not change a hit result.</x:v>
      </x:c>
      <x:c r="I14" s="13" t="str"/>
    </x:row>
    <x:row r="15" ht="72" customHeight="1">
      <x:c r="A15" s="13" t="str">
        <x:v>COM-004</x:v>
      </x:c>
      <x:c r="B15" s="13" t="str">
        <x:v>Combat</x:v>
      </x:c>
      <x:c r="C15" s="13" t="str">
        <x:v>Defence levels</x:v>
      </x:c>
      <x:c r="D15" s="13" t="str">
        <x:v>Must</x:v>
      </x:c>
      <x:c r="E15" s="13" t="str">
        <x:v>G1</x:v>
      </x:c>
      <x:c r="F15" s="13" t="str">
        <x:v>Assign</x:v>
      </x:c>
      <x:c r="G15" s="13" t="str">
        <x:v>Not started</x:v>
      </x:c>
      <x:c r="H15" s="13" t="str">
        <x:v>High/low guard and crouch interactions match every test matrix entry.</x:v>
      </x:c>
      <x:c r="I15" s="13" t="str"/>
    </x:row>
    <x:row r="16" ht="72" customHeight="1">
      <x:c r="A16" s="13" t="str">
        <x:v>COM-005</x:v>
      </x:c>
      <x:c r="B16" s="13" t="str">
        <x:v>Combat</x:v>
      </x:c>
      <x:c r="C16" s="13" t="str">
        <x:v>Trades and draws</x:v>
      </x:c>
      <x:c r="D16" s="13" t="str">
        <x:v>Must</x:v>
      </x:c>
      <x:c r="E16" s="13" t="str">
        <x:v>G1</x:v>
      </x:c>
      <x:c r="F16" s="13" t="str">
        <x:v>Assign</x:v>
      </x:c>
      <x:c r="G16" s="13" t="str">
        <x:v>Not started</x:v>
      </x:c>
      <x:c r="H16" s="13" t="str">
        <x:v>Simultaneous damage, knockout and timer ties use the documented rules.</x:v>
      </x:c>
      <x:c r="I16" s="13" t="str"/>
    </x:row>
    <x:row r="17" ht="72" customHeight="1">
      <x:c r="A17" s="13" t="str">
        <x:v>COM-006</x:v>
      </x:c>
      <x:c r="B17" s="13" t="str">
        <x:v>Combat</x:v>
      </x:c>
      <x:c r="C17" s="13" t="str">
        <x:v>Bounded combos</x:v>
      </x:c>
      <x:c r="D17" s="13" t="str">
        <x:v>Must</x:v>
      </x:c>
      <x:c r="E17" s="13" t="str">
        <x:v>G1</x:v>
      </x:c>
      <x:c r="F17" s="13" t="str">
        <x:v>Assign</x:v>
      </x:c>
      <x:c r="G17" s="13" t="str">
        <x:v>Not started</x:v>
      </x:c>
      <x:c r="H17" s="13" t="str">
        <x:v>No route exceeds three damaging strikes or bypasses recovery illegally.</x:v>
      </x:c>
      <x:c r="I17" s="13" t="str"/>
    </x:row>
    <x:row r="18" ht="72" customHeight="1">
      <x:c r="A18" s="13" t="str">
        <x:v>COM-007</x:v>
      </x:c>
      <x:c r="B18" s="13" t="str">
        <x:v>Combat</x:v>
      </x:c>
      <x:c r="C18" s="13" t="str">
        <x:v>Throw escape</x:v>
      </x:c>
      <x:c r="D18" s="13" t="str">
        <x:v>Must</x:v>
      </x:c>
      <x:c r="E18" s="13" t="str">
        <x:v>G1</x:v>
      </x:c>
      <x:c r="F18" s="13" t="str">
        <x:v>Assign</x:v>
      </x:c>
      <x:c r="G18" s="13" t="str">
        <x:v>Not started</x:v>
      </x:c>
      <x:c r="H18" s="13" t="str">
        <x:v>Both orientations resolve the 12-tick escape window correctly.</x:v>
      </x:c>
      <x:c r="I18" s="13" t="str"/>
    </x:row>
    <x:row r="19" ht="72" customHeight="1">
      <x:c r="A19" s="13" t="str">
        <x:v>COM-008</x:v>
      </x:c>
      <x:c r="B19" s="13" t="str">
        <x:v>Combat</x:v>
      </x:c>
      <x:c r="C19" s="13" t="str">
        <x:v>Resource limits</x:v>
      </x:c>
      <x:c r="D19" s="13" t="str">
        <x:v>Must</x:v>
      </x:c>
      <x:c r="E19" s="13" t="str">
        <x:v>G1</x:v>
      </x:c>
      <x:c r="F19" s="13" t="str">
        <x:v>Assign</x:v>
      </x:c>
      <x:c r="G19" s="13" t="str">
        <x:v>Not started</x:v>
      </x:c>
      <x:c r="H19" s="13" t="str">
        <x:v>Insufficient stamina or meter always masks the relevant move.</x:v>
      </x:c>
      <x:c r="I19" s="13" t="str"/>
    </x:row>
    <x:row r="20" ht="72" customHeight="1">
      <x:c r="A20" s="13" t="str">
        <x:v>COM-009</x:v>
      </x:c>
      <x:c r="B20" s="13" t="str">
        <x:v>Combat</x:v>
      </x:c>
      <x:c r="C20" s="13" t="str">
        <x:v>Equal identity mechanics</x:v>
      </x:c>
      <x:c r="D20" s="13" t="str">
        <x:v>Must</x:v>
      </x:c>
      <x:c r="E20" s="13" t="str">
        <x:v>G3</x:v>
      </x:c>
      <x:c r="F20" s="13" t="str">
        <x:v>Assign</x:v>
      </x:c>
      <x:c r="G20" s="13" t="str">
        <x:v>Not started</x:v>
      </x:c>
      <x:c r="H20" s="13" t="str">
        <x:v>Swapping avatar ID changes no combat constant or collision envelope.</x:v>
      </x:c>
      <x:c r="I20" s="13" t="str"/>
    </x:row>
    <x:row r="21" ht="72" customHeight="1">
      <x:c r="A21" s="13" t="str">
        <x:v>COM-010</x:v>
      </x:c>
      <x:c r="B21" s="13" t="str">
        <x:v>Combat</x:v>
      </x:c>
      <x:c r="C21" s="13" t="str">
        <x:v>Input buffer and priority</x:v>
      </x:c>
      <x:c r="D21" s="13" t="str">
        <x:v>Must</x:v>
      </x:c>
      <x:c r="E21" s="13" t="str">
        <x:v>G1</x:v>
      </x:c>
      <x:c r="F21" s="13" t="str">
        <x:v>Assign</x:v>
      </x:c>
      <x:c r="G21" s="13" t="str">
        <x:v>Not started</x:v>
      </x:c>
      <x:c r="H21" s="13" t="str">
        <x:v>Held/repeated/competing inputs obey the five-tick buffer and fixed priority.</x:v>
      </x:c>
      <x:c r="I21" s="13" t="str"/>
    </x:row>
    <x:row r="22" ht="72" customHeight="1">
      <x:c r="A22" s="13" t="str">
        <x:v>AI-001</x:v>
      </x:c>
      <x:c r="B22" s="13" t="str">
        <x:v>Laya</x:v>
      </x:c>
      <x:c r="C22" s="13" t="str">
        <x:v>Typed action adapter</x:v>
      </x:c>
      <x:c r="D22" s="13" t="str">
        <x:v>Must</x:v>
      </x:c>
      <x:c r="E22" s="13" t="str">
        <x:v>G2</x:v>
      </x:c>
      <x:c r="F22" s="13" t="str">
        <x:v>Assign</x:v>
      </x:c>
      <x:c r="G22" s="13" t="str">
        <x:v>Not started</x:v>
      </x:c>
      <x:c r="H22" s="13" t="str">
        <x:v>Real SDK output maps to the versioned response contract; missing fields are not invented.</x:v>
      </x:c>
      <x:c r="I22" s="13" t="str"/>
    </x:row>
    <x:row r="23" ht="72" customHeight="1">
      <x:c r="A23" s="13" t="str">
        <x:v>AI-002</x:v>
      </x:c>
      <x:c r="B23" s="13" t="str">
        <x:v>Laya</x:v>
      </x:c>
      <x:c r="C23" s="13" t="str">
        <x:v>Delayed observation</x:v>
      </x:c>
      <x:c r="D23" s="13" t="str">
        <x:v>Must</x:v>
      </x:c>
      <x:c r="E23" s="13" t="str">
        <x:v>G2</x:v>
      </x:c>
      <x:c r="F23" s="13" t="str">
        <x:v>Assign</x:v>
      </x:c>
      <x:c r="G23" s="13" t="str">
        <x:v>Not started</x:v>
      </x:c>
      <x:c r="H23" s="13" t="str">
        <x:v>Standard snapshots are exactly 12 ticks old, not current values with an old timestamp.</x:v>
      </x:c>
      <x:c r="I23" s="13" t="str"/>
    </x:row>
    <x:row r="24" ht="72" customHeight="1">
      <x:c r="A24" s="13" t="str">
        <x:v>AI-003</x:v>
      </x:c>
      <x:c r="B24" s="13" t="str">
        <x:v>Laya</x:v>
      </x:c>
      <x:c r="C24" s="13" t="str">
        <x:v>No hidden player inputs</x:v>
      </x:c>
      <x:c r="D24" s="13" t="str">
        <x:v>Must</x:v>
      </x:c>
      <x:c r="E24" s="13" t="str">
        <x:v>G2</x:v>
      </x:c>
      <x:c r="F24" s="13" t="str">
        <x:v>Assign</x:v>
      </x:c>
      <x:c r="G24" s="13" t="str">
        <x:v>Not started</x:v>
      </x:c>
      <x:c r="H24" s="13" t="str">
        <x:v>Requests contain no keyboard queue, future choices, identity or political fields.</x:v>
      </x:c>
      <x:c r="I24" s="13" t="str"/>
    </x:row>
    <x:row r="25" ht="72" customHeight="1">
      <x:c r="A25" s="13" t="str">
        <x:v>AI-004</x:v>
      </x:c>
      <x:c r="B25" s="13" t="str">
        <x:v>Laya</x:v>
      </x:c>
      <x:c r="C25" s="13" t="str">
        <x:v>Legal candidate validation</x:v>
      </x:c>
      <x:c r="D25" s="13" t="str">
        <x:v>Must</x:v>
      </x:c>
      <x:c r="E25" s="13" t="str">
        <x:v>G2</x:v>
      </x:c>
      <x:c r="F25" s="13" t="str">
        <x:v>Assign</x:v>
      </x:c>
      <x:c r="G25" s="13" t="str">
        <x:v>Not started</x:v>
      </x:c>
      <x:c r="H25" s="13" t="str">
        <x:v>Unknown, unaffordable and no-longer-legal actions cannot execute.</x:v>
      </x:c>
      <x:c r="I25" s="13" t="str"/>
    </x:row>
    <x:row r="26" ht="72" customHeight="1">
      <x:c r="A26" s="13" t="str">
        <x:v>AI-005</x:v>
      </x:c>
      <x:c r="B26" s="13" t="str">
        <x:v>Laya</x:v>
      </x:c>
      <x:c r="C26" s="13" t="str">
        <x:v>Bounded scheduling</x:v>
      </x:c>
      <x:c r="D26" s="13" t="str">
        <x:v>Must</x:v>
      </x:c>
      <x:c r="E26" s="13" t="str">
        <x:v>G2</x:v>
      </x:c>
      <x:c r="F26" s="13" t="str">
        <x:v>Assign</x:v>
      </x:c>
      <x:c r="G26" s="13" t="str">
        <x:v>Not started</x:v>
      </x:c>
      <x:c r="H26" s="13" t="str">
        <x:v>One in-flight request per fighter; six Hz default, eight Hz hard cap.</x:v>
      </x:c>
      <x:c r="I26" s="13" t="str"/>
    </x:row>
    <x:row r="27" ht="72" customHeight="1">
      <x:c r="A27" s="13" t="str">
        <x:v>AI-006</x:v>
      </x:c>
      <x:c r="B27" s="13" t="str">
        <x:v>Laya</x:v>
      </x:c>
      <x:c r="C27" s="13" t="str">
        <x:v>Stale response rejection</x:v>
      </x:c>
      <x:c r="D27" s="13" t="str">
        <x:v>Must</x:v>
      </x:c>
      <x:c r="E27" s="13" t="str">
        <x:v>G2</x:v>
      </x:c>
      <x:c r="F27" s="13" t="str">
        <x:v>Assign</x:v>
      </x:c>
      <x:c r="G27" s="13" t="str">
        <x:v>Not started</x:v>
      </x:c>
      <x:c r="H27" s="13" t="str">
        <x:v>Wrong epoch/round/request, expired and duplicate results are discarded.</x:v>
      </x:c>
      <x:c r="I27" s="13" t="str"/>
    </x:row>
    <x:row r="28" ht="72" customHeight="1">
      <x:c r="A28" s="13" t="str">
        <x:v>AI-007</x:v>
      </x:c>
      <x:c r="B28" s="13" t="str">
        <x:v>Laya</x:v>
      </x:c>
      <x:c r="C28" s="13" t="str">
        <x:v>Explicit fallback</x:v>
      </x:c>
      <x:c r="D28" s="13" t="str">
        <x:v>Must</x:v>
      </x:c>
      <x:c r="E28" s="13" t="str">
        <x:v>G2</x:v>
      </x:c>
      <x:c r="F28" s="13" t="str">
        <x:v>Assign</x:v>
      </x:c>
      <x:c r="G28" s="13" t="str">
        <x:v>Not started</x:v>
      </x:c>
      <x:c r="H28" s="13" t="str">
        <x:v>Failures idle or pause; baseline mode is visibly labelled and recorded.</x:v>
      </x:c>
      <x:c r="I28" s="13" t="str"/>
    </x:row>
    <x:row r="29" ht="72" customHeight="1">
      <x:c r="A29" s="13" t="str">
        <x:v>AI-008</x:v>
      </x:c>
      <x:c r="B29" s="13" t="str">
        <x:v>Laya</x:v>
      </x:c>
      <x:c r="C29" s="13" t="str">
        <x:v>Pinned model and vocabulary</x:v>
      </x:c>
      <x:c r="D29" s="13" t="str">
        <x:v>Must</x:v>
      </x:c>
      <x:c r="E29" s="13" t="str">
        <x:v>G2</x:v>
      </x:c>
      <x:c r="F29" s="13" t="str">
        <x:v>Assign</x:v>
      </x:c>
      <x:c r="G29" s="13" t="str">
        <x:v>Not started</x:v>
      </x:c>
      <x:c r="H29" s="13" t="str">
        <x:v>A release identifies immutable weights, tokenizer, SDK and candidate-generation revisions.</x:v>
      </x:c>
      <x:c r="I29" s="13" t="str"/>
    </x:row>
    <x:row r="30" ht="72" customHeight="1">
      <x:c r="A30" s="13" t="str">
        <x:v>AI-009</x:v>
      </x:c>
      <x:c r="B30" s="13" t="str">
        <x:v>Laya</x:v>
      </x:c>
      <x:c r="C30" s="13" t="str">
        <x:v>Domain evaluation</x:v>
      </x:c>
      <x:c r="D30" s="13" t="str">
        <x:v>Must</x:v>
      </x:c>
      <x:c r="E30" s="13" t="str">
        <x:v>G2</x:v>
      </x:c>
      <x:c r="F30" s="13" t="str">
        <x:v>Assign</x:v>
      </x:c>
      <x:c r="G30" s="13" t="str">
        <x:v>Not started</x:v>
      </x:c>
      <x:c r="H30" s="13" t="str">
        <x:v>Held-out comparisons include no-history and conventional-policy baselines.</x:v>
      </x:c>
      <x:c r="I30" s="13" t="str"/>
    </x:row>
    <x:row r="31" ht="72" customHeight="1">
      <x:c r="A31" s="13" t="str">
        <x:v>AI-010</x:v>
      </x:c>
      <x:c r="B31" s="13" t="str">
        <x:v>Laya</x:v>
      </x:c>
      <x:c r="C31" s="13" t="str">
        <x:v>Latency decomposition</x:v>
      </x:c>
      <x:c r="D31" s="13" t="str">
        <x:v>Must</x:v>
      </x:c>
      <x:c r="E31" s="13" t="str">
        <x:v>G2</x:v>
      </x:c>
      <x:c r="F31" s="13" t="str">
        <x:v>Assign</x:v>
      </x:c>
      <x:c r="G31" s="13" t="str">
        <x:v>Not started</x:v>
      </x:c>
      <x:c r="H31" s="13" t="str">
        <x:v>Server model timing is not represented as end-to-end response time.</x:v>
      </x:c>
      <x:c r="I31" s="13" t="str"/>
    </x:row>
    <x:row r="32" ht="72" customHeight="1">
      <x:c r="A32" s="13" t="str">
        <x:v>AI-011</x:v>
      </x:c>
      <x:c r="B32" s="13" t="str">
        <x:v>Laya</x:v>
      </x:c>
      <x:c r="C32" s="13" t="str">
        <x:v>No live weight-learning claim</x:v>
      </x:c>
      <x:c r="D32" s="13" t="str">
        <x:v>Must</x:v>
      </x:c>
      <x:c r="E32" s="13" t="str">
        <x:v>G5</x:v>
      </x:c>
      <x:c r="F32" s="13" t="str">
        <x:v>Assign</x:v>
      </x:c>
      <x:c r="G32" s="13" t="str">
        <x:v>Not started</x:v>
      </x:c>
      <x:c r="H32" s="13" t="str">
        <x:v>Public copy distinguishes rolling-history adaptation from weight updates.</x:v>
      </x:c>
      <x:c r="I32" s="13" t="str"/>
    </x:row>
    <x:row r="33" ht="72" customHeight="1">
      <x:c r="A33" s="13" t="str">
        <x:v>AI-012</x:v>
      </x:c>
      <x:c r="B33" s="13" t="str">
        <x:v>Laya</x:v>
      </x:c>
      <x:c r="C33" s="13" t="str">
        <x:v>Candidate coverage and budgets</x:v>
      </x:c>
      <x:c r="D33" s="13" t="str">
        <x:v>Must</x:v>
      </x:c>
      <x:c r="E33" s="13" t="str">
        <x:v>G2</x:v>
      </x:c>
      <x:c r="F33" s="13" t="str">
        <x:v>Assign</x:v>
      </x:c>
      <x:c r="G33" s="13" t="str">
        <x:v>Not started</x:v>
      </x:c>
      <x:c r="H33" s="13" t="str">
        <x:v>Tokenizer budget tests pass without truncation; candidate coverage and pruning reasons are logged.</x:v>
      </x:c>
      <x:c r="I33" s="13" t="str"/>
    </x:row>
    <x:row r="34" ht="72" customHeight="1">
      <x:c r="A34" s="13" t="str">
        <x:v>ART-001</x:v>
      </x:c>
      <x:c r="B34" s="13" t="str">
        <x:v>Production assets</x:v>
      </x:c>
      <x:c r="C34" s="13" t="str">
        <x:v>Reference provenance</x:v>
      </x:c>
      <x:c r="D34" s="13" t="str">
        <x:v>Must</x:v>
      </x:c>
      <x:c r="E34" s="13" t="str">
        <x:v>G3</x:v>
      </x:c>
      <x:c r="F34" s="13" t="str">
        <x:v>Assign</x:v>
      </x:c>
      <x:c r="G34" s="13" t="str">
        <x:v>Not started</x:v>
      </x:c>
      <x:c r="H34" s="13" t="str">
        <x:v>Every published likeness has source/usage records and a reviewed neutral feature sheet.</x:v>
      </x:c>
      <x:c r="I34" s="13" t="str"/>
    </x:row>
    <x:row r="35" ht="72" customHeight="1">
      <x:c r="A35" s="13" t="str">
        <x:v>ART-002</x:v>
      </x:c>
      <x:c r="B35" s="13" t="str">
        <x:v>Production assets</x:v>
      </x:c>
      <x:c r="C35" s="13" t="str">
        <x:v>Head and face quality</x:v>
      </x:c>
      <x:c r="D35" s="13" t="str">
        <x:v>Must</x:v>
      </x:c>
      <x:c r="E35" s="13" t="str">
        <x:v>G3</x:v>
      </x:c>
      <x:c r="F35" s="13" t="str">
        <x:v>Assign</x:v>
      </x:c>
      <x:c r="G35" s="13" t="str">
        <x:v>Not started</x:v>
      </x:c>
      <x:c r="H35" s="13" t="str">
        <x:v>Front, profile, three-quarter, blinks and all 24 morphs pass review.</x:v>
      </x:c>
      <x:c r="I35" s="13" t="str"/>
    </x:row>
    <x:row r="36" ht="72" customHeight="1">
      <x:c r="A36" s="13" t="str">
        <x:v>ART-003</x:v>
      </x:c>
      <x:c r="B36" s="13" t="str">
        <x:v>Production assets</x:v>
      </x:c>
      <x:c r="C36" s="13" t="str">
        <x:v>Common rig</x:v>
      </x:c>
      <x:c r="D36" s="13" t="str">
        <x:v>Must</x:v>
      </x:c>
      <x:c r="E36" s="13" t="str">
        <x:v>G3</x:v>
      </x:c>
      <x:c r="F36" s="13" t="str">
        <x:v>Assign</x:v>
      </x:c>
      <x:c r="G36" s="13" t="str">
        <x:v>Not started</x:v>
      </x:c>
      <x:c r="H36" s="13" t="str">
        <x:v>Bone/socket names, bind pose, scale and &lt;=90 joint limit validate.</x:v>
      </x:c>
      <x:c r="I36" s="13" t="str"/>
    </x:row>
    <x:row r="37" ht="72" customHeight="1">
      <x:c r="A37" s="13" t="str">
        <x:v>ART-004</x:v>
      </x:c>
      <x:c r="B37" s="13" t="str">
        <x:v>Production assets</x:v>
      </x:c>
      <x:c r="C37" s="13" t="str">
        <x:v>Clothing and contact</x:v>
      </x:c>
      <x:c r="D37" s="13" t="str">
        <x:v>Must</x:v>
      </x:c>
      <x:c r="E37" s="13" t="str">
        <x:v>G3</x:v>
      </x:c>
      <x:c r="F37" s="13" t="str">
        <x:v>Assign</x:v>
      </x:c>
      <x:c r="G37" s="13" t="str">
        <x:v>Not started</x:v>
      </x:c>
      <x:c r="H37" s="13" t="str">
        <x:v>Curated clip matrix passes penetration and 2cm/3cm contact targets.</x:v>
      </x:c>
      <x:c r="I37" s="13" t="str"/>
    </x:row>
    <x:row r="38" ht="72" customHeight="1">
      <x:c r="A38" s="13" t="str">
        <x:v>ART-005</x:v>
      </x:c>
      <x:c r="B38" s="13" t="str">
        <x:v>Production assets</x:v>
      </x:c>
      <x:c r="C38" s="13" t="str">
        <x:v>LOD and transfer budget</x:v>
      </x:c>
      <x:c r="D38" s="13" t="str">
        <x:v>Must</x:v>
      </x:c>
      <x:c r="E38" s="13" t="str">
        <x:v>G3</x:v>
      </x:c>
      <x:c r="F38" s="13" t="str">
        <x:v>Assign</x:v>
      </x:c>
      <x:c r="G38" s="13" t="str">
        <x:v>Not started</x:v>
      </x:c>
      <x:c r="H38" s="13" t="str">
        <x:v>Each selected character meets its tier geometry and &lt;=12MiB standard-transfer target.</x:v>
      </x:c>
      <x:c r="I38" s="13" t="str"/>
    </x:row>
    <x:row r="39" ht="72" customHeight="1">
      <x:c r="A39" s="13" t="str">
        <x:v>ART-006</x:v>
      </x:c>
      <x:c r="B39" s="13" t="str">
        <x:v>Production assets</x:v>
      </x:c>
      <x:c r="C39" s="13" t="str">
        <x:v>Shared animation completeness</x:v>
      </x:c>
      <x:c r="D39" s="13" t="str">
        <x:v>Must</x:v>
      </x:c>
      <x:c r="E39" s="13" t="str">
        <x:v>G3</x:v>
      </x:c>
      <x:c r="F39" s="13" t="str">
        <x:v>Assign</x:v>
      </x:c>
      <x:c r="G39" s="13" t="str">
        <x:v>Not started</x:v>
      </x:c>
      <x:c r="H39" s="13" t="str">
        <x:v>62 shared V1 clips and four presentation clips per selected leader are present.</x:v>
      </x:c>
      <x:c r="I39" s="13" t="str"/>
    </x:row>
    <x:row r="40" ht="72" customHeight="1">
      <x:c r="A40" s="13" t="str">
        <x:v>ART-007</x:v>
      </x:c>
      <x:c r="B40" s="13" t="str">
        <x:v>Production assets</x:v>
      </x:c>
      <x:c r="C40" s="13" t="str">
        <x:v>Original summit arena</x:v>
      </x:c>
      <x:c r="D40" s="13" t="str">
        <x:v>Must</x:v>
      </x:c>
      <x:c r="E40" s="13" t="str">
        <x:v>G3</x:v>
      </x:c>
      <x:c r="F40" s="13" t="str">
        <x:v>Assign</x:v>
      </x:c>
      <x:c r="G40" s="13" t="str">
        <x:v>Not started</x:v>
      </x:c>
      <x:c r="H40" s="13" t="str">
        <x:v>Arena is within bounds/budget and contains no unapproved official branding.</x:v>
      </x:c>
      <x:c r="I40" s="13" t="str"/>
    </x:row>
    <x:row r="41" ht="72" customHeight="1">
      <x:c r="A41" s="13" t="str">
        <x:v>ART-008</x:v>
      </x:c>
      <x:c r="B41" s="13" t="str">
        <x:v>Production assets</x:v>
      </x:c>
      <x:c r="C41" s="13" t="str">
        <x:v>Cosmetic-only secondary physics</x:v>
      </x:c>
      <x:c r="D41" s="13" t="str">
        <x:v>Must</x:v>
      </x:c>
      <x:c r="E41" s="13" t="str">
        <x:v>G3</x:v>
      </x:c>
      <x:c r="F41" s="13" t="str">
        <x:v>Assign</x:v>
      </x:c>
      <x:c r="G41" s="13" t="str">
        <x:v>Not started</x:v>
      </x:c>
      <x:c r="H41" s="13" t="str">
        <x:v>Cloth, debris, cameras and effects cannot alter collision or damage.</x:v>
      </x:c>
      <x:c r="I41" s="13" t="str"/>
    </x:row>
    <x:row r="42" ht="72" customHeight="1">
      <x:c r="A42" s="13" t="str">
        <x:v>ART-009</x:v>
      </x:c>
      <x:c r="B42" s="13" t="str">
        <x:v>Production assets</x:v>
      </x:c>
      <x:c r="C42" s="13" t="str">
        <x:v>Audio provenance and mix</x:v>
      </x:c>
      <x:c r="D42" s="13" t="str">
        <x:v>Must</x:v>
      </x:c>
      <x:c r="E42" s="13" t="str">
        <x:v>G4</x:v>
      </x:c>
      <x:c r="F42" s="13" t="str">
        <x:v>Assign</x:v>
      </x:c>
      <x:c r="G42" s="13" t="str">
        <x:v>Not started</x:v>
      </x:c>
      <x:c r="H42" s="13" t="str">
        <x:v>Actor and sound licences recorded; no real-leader voice clone; overlap mix does not clip.</x:v>
      </x:c>
      <x:c r="I42" s="13" t="str"/>
    </x:row>
    <x:row r="43" ht="72" customHeight="1">
      <x:c r="A43" s="13" t="str">
        <x:v>REP-001</x:v>
      </x:c>
      <x:c r="B43" s="13" t="str">
        <x:v>Replay and export</x:v>
      </x:c>
      <x:c r="C43" s="13" t="str">
        <x:v>Recorded decisions only</x:v>
      </x:c>
      <x:c r="D43" s="13" t="str">
        <x:v>Must</x:v>
      </x:c>
      <x:c r="E43" s="13" t="str">
        <x:v>G4</x:v>
      </x:c>
      <x:c r="F43" s="13" t="str">
        <x:v>Assign</x:v>
      </x:c>
      <x:c r="G43" s="13" t="str">
        <x:v>Not started</x:v>
      </x:c>
      <x:c r="H43" s="13" t="str">
        <x:v>Replay never invokes model inference and matches recorded applied actions.</x:v>
      </x:c>
      <x:c r="I43" s="13" t="str"/>
    </x:row>
    <x:row r="44" ht="72" customHeight="1">
      <x:c r="A44" s="13" t="str">
        <x:v>REP-002</x:v>
      </x:c>
      <x:c r="B44" s="13" t="str">
        <x:v>Replay and export</x:v>
      </x:c>
      <x:c r="C44" s="13" t="str">
        <x:v>Version and checksum fidelity</x:v>
      </x:c>
      <x:c r="D44" s="13" t="str">
        <x:v>Must</x:v>
      </x:c>
      <x:c r="E44" s="13" t="str">
        <x:v>G4</x:v>
      </x:c>
      <x:c r="F44" s="13" t="str">
        <x:v>Assign</x:v>
      </x:c>
      <x:c r="G44" s="13" t="str">
        <x:v>Not started</x:v>
      </x:c>
      <x:c r="H44" s="13" t="str">
        <x:v>Build/moveset/model/asset versions retained; incompatible replay is rejected clearly.</x:v>
      </x:c>
      <x:c r="I44" s="13" t="str"/>
    </x:row>
    <x:row r="45" ht="72" customHeight="1">
      <x:c r="A45" s="13" t="str">
        <x:v>REP-003</x:v>
      </x:c>
      <x:c r="B45" s="13" t="str">
        <x:v>Replay and export</x:v>
      </x:c>
      <x:c r="C45" s="13" t="str">
        <x:v>Local retention and deletion</x:v>
      </x:c>
      <x:c r="D45" s="13" t="str">
        <x:v>Must</x:v>
      </x:c>
      <x:c r="E45" s="13" t="str">
        <x:v>G4</x:v>
      </x:c>
      <x:c r="F45" s="13" t="str">
        <x:v>Assign</x:v>
      </x:c>
      <x:c r="G45" s="13" t="str">
        <x:v>Not started</x:v>
      </x:c>
      <x:c r="H45" s="13" t="str">
        <x:v>Five-match/100MiB storage bounds enforced; user deletion works.</x:v>
      </x:c>
      <x:c r="I45" s="13" t="str"/>
    </x:row>
    <x:row r="46" ht="72" customHeight="1">
      <x:c r="A46" s="13" t="str">
        <x:v>REP-004</x:v>
      </x:c>
      <x:c r="B46" s="13" t="str">
        <x:v>Replay and export</x:v>
      </x:c>
      <x:c r="C46" s="13" t="str">
        <x:v>Capture HUD composition</x:v>
      </x:c>
      <x:c r="D46" s="13" t="str">
        <x:v>Must</x:v>
      </x:c>
      <x:c r="E46" s="13" t="str">
        <x:v>G4</x:v>
      </x:c>
      <x:c r="F46" s="13" t="str">
        <x:v>Assign</x:v>
      </x:c>
      <x:c r="G46" s="13" t="str">
        <x:v>Not started</x:v>
      </x:c>
      <x:c r="H46" s="13" t="str">
        <x:v>Export contains HUD/disclosure even though the live accessible HUD is DOM-based.</x:v>
      </x:c>
      <x:c r="I46" s="13" t="str"/>
    </x:row>
    <x:row r="47" ht="72" customHeight="1">
      <x:c r="A47" s="13" t="str">
        <x:v>REP-005</x:v>
      </x:c>
      <x:c r="B47" s="13" t="str">
        <x:v>Replay and export</x:v>
      </x:c>
      <x:c r="C47" s="13" t="str">
        <x:v>Codec negotiation</x:v>
      </x:c>
      <x:c r="D47" s="13" t="str">
        <x:v>Must</x:v>
      </x:c>
      <x:c r="E47" s="13" t="str">
        <x:v>G4</x:v>
      </x:c>
      <x:c r="F47" s="13" t="str">
        <x:v>Assign</x:v>
      </x:c>
      <x:c r="G47" s="13" t="str">
        <x:v>Not started</x:v>
      </x:c>
      <x:c r="H47" s="13" t="str">
        <x:v>Unsupported format or recording failure offers a working alternate or replay download.</x:v>
      </x:c>
      <x:c r="I47" s="13" t="str"/>
    </x:row>
    <x:row r="48" ht="72" customHeight="1">
      <x:c r="A48" s="13" t="str">
        <x:v>REP-006</x:v>
      </x:c>
      <x:c r="B48" s="13" t="str">
        <x:v>Replay and export</x:v>
      </x:c>
      <x:c r="C48" s="13" t="str">
        <x:v>Portrait safe framing</x:v>
      </x:c>
      <x:c r="D48" s="13" t="str">
        <x:v>Must</x:v>
      </x:c>
      <x:c r="E48" s="13" t="str">
        <x:v>G4</x:v>
      </x:c>
      <x:c r="F48" s="13" t="str">
        <x:v>Assign</x:v>
      </x:c>
      <x:c r="G48" s="13" t="str">
        <x:v>Not started</x:v>
      </x:c>
      <x:c r="H48" s="13" t="str">
        <x:v>Both fighters and their readable wind-ups remain in frame.</x:v>
      </x:c>
      <x:c r="I48" s="13" t="str"/>
    </x:row>
    <x:row r="49" ht="72" customHeight="1">
      <x:c r="A49" s="13" t="str">
        <x:v>REP-007</x:v>
      </x:c>
      <x:c r="B49" s="13" t="str">
        <x:v>Replay and export</x:v>
      </x:c>
      <x:c r="C49" s="13" t="str">
        <x:v>Truthful telemetry</x:v>
      </x:c>
      <x:c r="D49" s="13" t="str">
        <x:v>Must</x:v>
      </x:c>
      <x:c r="E49" s="13" t="str">
        <x:v>G4</x:v>
      </x:c>
      <x:c r="F49" s="13" t="str">
        <x:v>Assign</x:v>
      </x:c>
      <x:c r="G49" s="13" t="str">
        <x:v>Not started</x:v>
      </x:c>
      <x:c r="H49" s="13" t="str">
        <x:v>Live, baseline, fallback and recorded states are distinguishable in overlays and exports.</x:v>
      </x:c>
      <x:c r="I49" s="13" t="str"/>
    </x:row>
    <x:row r="50" ht="72" customHeight="1">
      <x:c r="A50" s="13" t="str">
        <x:v>OPS-001</x:v>
      </x:c>
      <x:c r="B50" s="13" t="str">
        <x:v>Performance and operations</x:v>
      </x:c>
      <x:c r="C50" s="13" t="str">
        <x:v>Frame-time target</x:v>
      </x:c>
      <x:c r="D50" s="13" t="str">
        <x:v>Must</x:v>
      </x:c>
      <x:c r="E50" s="13" t="str">
        <x:v>G5</x:v>
      </x:c>
      <x:c r="F50" s="13" t="str">
        <x:v>Assign</x:v>
      </x:c>
      <x:c r="G50" s="13" t="str">
        <x:v>Not started</x:v>
      </x:c>
      <x:c r="H50" s="13" t="str">
        <x:v>Standard test matrix meets median16.7/p95 20/p99 33ms targets after warm-up.</x:v>
      </x:c>
      <x:c r="I50" s="13" t="str"/>
    </x:row>
    <x:row r="51" ht="72" customHeight="1">
      <x:c r="A51" s="13" t="str">
        <x:v>OPS-002</x:v>
      </x:c>
      <x:c r="B51" s="13" t="str">
        <x:v>Performance and operations</x:v>
      </x:c>
      <x:c r="C51" s="13" t="str">
        <x:v>Loading budget</x:v>
      </x:c>
      <x:c r="D51" s="13" t="str">
        <x:v>Must</x:v>
      </x:c>
      <x:c r="E51" s="13" t="str">
        <x:v>G5</x:v>
      </x:c>
      <x:c r="F51" s="13" t="str">
        <x:v>Assign</x:v>
      </x:c>
      <x:c r="G51" s="13" t="str">
        <x:v>Not started</x:v>
      </x:c>
      <x:c r="H51" s="13" t="str">
        <x:v>Selected standard match &lt;=48MiB and &lt;=15s controlled cold-start target.</x:v>
      </x:c>
      <x:c r="I51" s="13" t="str"/>
    </x:row>
    <x:row r="52" ht="72" customHeight="1">
      <x:c r="A52" s="13" t="str">
        <x:v>OPS-003</x:v>
      </x:c>
      <x:c r="B52" s="13" t="str">
        <x:v>Performance and operations</x:v>
      </x:c>
      <x:c r="C52" s="13" t="str">
        <x:v>Memory soak</x:v>
      </x:c>
      <x:c r="D52" s="13" t="str">
        <x:v>Must</x:v>
      </x:c>
      <x:c r="E52" s="13" t="str">
        <x:v>G5</x:v>
      </x:c>
      <x:c r="F52" s="13" t="str">
        <x:v>Assign</x:v>
      </x:c>
      <x:c r="G52" s="13" t="str">
        <x:v>Not started</x:v>
      </x:c>
      <x:c r="H52" s="13" t="str">
        <x:v>20 rematches and repeated selections stay within bounded memory use.</x:v>
      </x:c>
      <x:c r="I52" s="13" t="str"/>
    </x:row>
    <x:row r="53" ht="72" customHeight="1">
      <x:c r="A53" s="13" t="str">
        <x:v>OPS-004</x:v>
      </x:c>
      <x:c r="B53" s="13" t="str">
        <x:v>Performance and operations</x:v>
      </x:c>
      <x:c r="C53" s="13" t="str">
        <x:v>Measured admission</x:v>
      </x:c>
      <x:c r="D53" s="13" t="str">
        <x:v>Must</x:v>
      </x:c>
      <x:c r="E53" s="13" t="str">
        <x:v>G5</x:v>
      </x:c>
      <x:c r="F53" s="13" t="str">
        <x:v>Assign</x:v>
      </x:c>
      <x:c r="G53" s="13" t="str">
        <x:v>Not started</x:v>
      </x:c>
      <x:c r="H53" s="13" t="str">
        <x:v>Concurrency cap comes from independent-match p95 load tests with headroom.</x:v>
      </x:c>
      <x:c r="I53" s="13" t="str"/>
    </x:row>
    <x:row r="54" ht="72" customHeight="1">
      <x:c r="A54" s="13" t="str">
        <x:v>OPS-005</x:v>
      </x:c>
      <x:c r="B54" s="13" t="str">
        <x:v>Performance and operations</x:v>
      </x:c>
      <x:c r="C54" s="13" t="str">
        <x:v>Recovery paths</x:v>
      </x:c>
      <x:c r="D54" s="13" t="str">
        <x:v>Must</x:v>
      </x:c>
      <x:c r="E54" s="13" t="str">
        <x:v>G5</x:v>
      </x:c>
      <x:c r="F54" s="13" t="str">
        <x:v>Assign</x:v>
      </x:c>
      <x:c r="G54" s="13" t="str">
        <x:v>Not started</x:v>
      </x:c>
      <x:c r="H54" s="13" t="str">
        <x:v>Context loss, resize, disconnect and abort do not strand sessions or fighters.</x:v>
      </x:c>
      <x:c r="I54" s="13" t="str"/>
    </x:row>
    <x:row r="55" ht="72" customHeight="1">
      <x:c r="A55" s="13" t="str">
        <x:v>OPS-006</x:v>
      </x:c>
      <x:c r="B55" s="13" t="str">
        <x:v>Performance and operations</x:v>
      </x:c>
      <x:c r="C55" s="13" t="str">
        <x:v>Secure gateway</x:v>
      </x:c>
      <x:c r="D55" s="13" t="str">
        <x:v>Must</x:v>
      </x:c>
      <x:c r="E55" s="13" t="str">
        <x:v>G5</x:v>
      </x:c>
      <x:c r="F55" s="13" t="str">
        <x:v>Assign</x:v>
      </x:c>
      <x:c r="G55" s="13" t="str">
        <x:v>Not started</x:v>
      </x:c>
      <x:c r="H55" s="13" t="str">
        <x:v>Origin/token/rate/body/schema/time limits pass negative tests.</x:v>
      </x:c>
      <x:c r="I55" s="13" t="str"/>
    </x:row>
    <x:row r="56" ht="72" customHeight="1">
      <x:c r="A56" s="13" t="str">
        <x:v>OPS-007</x:v>
      </x:c>
      <x:c r="B56" s="13" t="str">
        <x:v>Performance and operations</x:v>
      </x:c>
      <x:c r="C56" s="13" t="str">
        <x:v>Replay upload sandbox</x:v>
      </x:c>
      <x:c r="D56" s="13" t="str">
        <x:v>Must</x:v>
      </x:c>
      <x:c r="E56" s="13" t="str">
        <x:v>G5</x:v>
      </x:c>
      <x:c r="F56" s="13" t="str">
        <x:v>Assign</x:v>
      </x:c>
      <x:c r="G56" s="13" t="str">
        <x:v>Not started</x:v>
      </x:c>
      <x:c r="H56" s="13" t="str">
        <x:v>Replays cannot run code or load arbitrary URLs.</x:v>
      </x:c>
      <x:c r="I56" s="13" t="str"/>
    </x:row>
    <x:row r="57" ht="72" customHeight="1">
      <x:c r="A57" s="13" t="str">
        <x:v>OPS-008</x:v>
      </x:c>
      <x:c r="B57" s="13" t="str">
        <x:v>Performance and operations</x:v>
      </x:c>
      <x:c r="C57" s="13" t="str">
        <x:v>Explicit unranked trust</x:v>
      </x:c>
      <x:c r="D57" s="13" t="str">
        <x:v>Must</x:v>
      </x:c>
      <x:c r="E57" s="13" t="str">
        <x:v>G5</x:v>
      </x:c>
      <x:c r="F57" s="13" t="str">
        <x:v>Assign</x:v>
      </x:c>
      <x:c r="G57" s="13" t="str">
        <x:v>Not started</x:v>
      </x:c>
      <x:c r="H57" s="13" t="str">
        <x:v>No client-only score is presented as a verified global competitive result.</x:v>
      </x:c>
      <x:c r="I57" s="13" t="str"/>
    </x:row>
    <x:row r="58" ht="72" customHeight="1">
      <x:c r="A58" s="13" t="str">
        <x:v>PUB-001</x:v>
      </x:c>
      <x:c r="B58" s="13" t="str">
        <x:v>Publication and editorial</x:v>
      </x:c>
      <x:c r="C58" s="13" t="str">
        <x:v>Verified roster snapshot</x:v>
      </x:c>
      <x:c r="D58" s="13" t="str">
        <x:v>Must</x:v>
      </x:c>
      <x:c r="E58" s="13" t="str">
        <x:v>G5</x:v>
      </x:c>
      <x:c r="F58" s="13" t="str">
        <x:v>Assign</x:v>
      </x:c>
      <x:c r="G58" s="13" t="str">
        <x:v>Not started</x:v>
      </x:c>
      <x:c r="H58" s="13" t="str">
        <x:v>Publication blocks missing official source, verified date or required content reviews.</x:v>
      </x:c>
      <x:c r="I58" s="13" t="str"/>
    </x:row>
    <x:row r="59" ht="72" customHeight="1">
      <x:c r="A59" s="13" t="str">
        <x:v>PUB-002</x:v>
      </x:c>
      <x:c r="B59" s="13" t="str">
        <x:v>Publication and editorial</x:v>
      </x:c>
      <x:c r="C59" s="13" t="str">
        <x:v>Original identity and assets</x:v>
      </x:c>
      <x:c r="D59" s="13" t="str">
        <x:v>Must</x:v>
      </x:c>
      <x:c r="E59" s="13" t="str">
        <x:v>G5</x:v>
      </x:c>
      <x:c r="F59" s="13" t="str">
        <x:v>Assign</x:v>
      </x:c>
      <x:c r="G59" s="13" t="str">
        <x:v>Not started</x:v>
      </x:c>
      <x:c r="H59" s="13" t="str">
        <x:v>Title/asset/likeness/voice/music/font records have a reviewed usage basis.</x:v>
      </x:c>
      <x:c r="I59" s="13" t="str"/>
    </x:row>
    <x:row r="60" ht="72" customHeight="1">
      <x:c r="A60" s="13" t="str">
        <x:v>PUB-003</x:v>
      </x:c>
      <x:c r="B60" s="13" t="str">
        <x:v>Publication and editorial</x:v>
      </x:c>
      <x:c r="C60" s="13" t="str">
        <x:v>Fiction disclosure</x:v>
      </x:c>
      <x:c r="D60" s="13" t="str">
        <x:v>Must</x:v>
      </x:c>
      <x:c r="E60" s="13" t="str">
        <x:v>G5</x:v>
      </x:c>
      <x:c r="F60" s="13" t="str">
        <x:v>Assign</x:v>
      </x:c>
      <x:c r="G60" s="13" t="str">
        <x:v>Not started</x:v>
      </x:c>
      <x:c r="H60" s="13" t="str">
        <x:v>Visible in landing, play and exported footage; no authentic-news framing.</x:v>
      </x:c>
      <x:c r="I60" s="13" t="str"/>
    </x:row>
    <x:row r="61" ht="72" customHeight="1">
      <x:c r="A61" s="13" t="str">
        <x:v>PUB-004</x:v>
      </x:c>
      <x:c r="B61" s="13" t="str">
        <x:v>Publication and editorial</x:v>
      </x:c>
      <x:c r="C61" s="13" t="str">
        <x:v>No political profiling</x:v>
      </x:c>
      <x:c r="D61" s="13" t="str">
        <x:v>Must</x:v>
      </x:c>
      <x:c r="E61" s="13" t="str">
        <x:v>G5</x:v>
      </x:c>
      <x:c r="F61" s="13" t="str">
        <x:v>Assign</x:v>
      </x:c>
      <x:c r="G61" s="13" t="str">
        <x:v>Not started</x:v>
      </x:c>
      <x:c r="H61" s="13" t="str">
        <x:v>Gameplay selection is not used to infer ideology, voting or political preference.</x:v>
      </x:c>
      <x:c r="I61" s="13" t="str"/>
    </x:row>
    <x:row r="62" ht="72" customHeight="1">
      <x:c r="A62" s="13" t="str">
        <x:v>PUB-005</x:v>
      </x:c>
      <x:c r="B62" s="13" t="str">
        <x:v>Publication and editorial</x:v>
      </x:c>
      <x:c r="C62" s="13" t="str">
        <x:v>No policy/personality claims</x:v>
      </x:c>
      <x:c r="D62" s="13" t="str">
        <x:v>Must</x:v>
      </x:c>
      <x:c r="E62" s="13" t="str">
        <x:v>G5</x:v>
      </x:c>
      <x:c r="F62" s="13" t="str">
        <x:v>Assign</x:v>
      </x:c>
      <x:c r="G62" s="13" t="str">
        <x:v>Not started</x:v>
      </x:c>
      <x:c r="H62" s="13" t="str">
        <x:v>Avatar stats, moves and AI policies do not represent real leader competence or beliefs.</x:v>
      </x:c>
      <x:c r="I62" s="13" t="str"/>
    </x:row>
    <x:row r="63" ht="72" customHeight="1">
      <x:c r="A63" s="13" t="str">
        <x:v>PUB-006</x:v>
      </x:c>
      <x:c r="B63" s="13" t="str">
        <x:v>Publication and editorial</x:v>
      </x:c>
      <x:c r="C63" s="13" t="str">
        <x:v>Release evidence</x:v>
      </x:c>
      <x:c r="D63" s="13" t="str">
        <x:v>Must</x:v>
      </x:c>
      <x:c r="E63" s="13" t="str">
        <x:v>G5</x:v>
      </x:c>
      <x:c r="F63" s="13" t="str">
        <x:v>Assign</x:v>
      </x:c>
      <x:c r="G63" s="13" t="str">
        <x:v>Not started</x:v>
      </x:c>
      <x:c r="H63" s="13" t="str">
        <x:v>Tests, asset manifests, model report and genuine demonstration accompany the release.</x:v>
      </x:c>
      <x:c r="I63" s="13" t="str"/>
    </x:row>
  </x:sheetData>
  <x:mergeCells>
    <x:mergeCell ref="A1:I1"/>
    <x:mergeCell ref="A2:I3"/>
  </x:mergeCells>
  <x:conditionalFormatting sqref="G6:G63">
    <x:cfRule type="expression" dxfId="4" priority="1">
      <x:formula>G6="Approved"</x:formula>
    </x:cfRule>
    <x:cfRule type="expression" dxfId="5" priority="2">
      <x:formula>G6="Blocked"</x:formula>
    </x:cfRule>
  </x:conditionalFormatting>
  <x:dataValidations count="1">
    <x:dataValidation type="list" sqref="G6:G63">
      <x:formula1>"Not started,In progress,Review,Approved,Blocked"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ed0a14ac74498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6" hidden="0" customWidth="1"/>
    <x:col min="5" max="5" width="28" hidden="0" customWidth="1"/>
    <x:col min="6" max="6" width="40" hidden="0" customWidth="1"/>
    <x:col min="7" max="7" width="20" hidden="0" customWidth="1"/>
    <x:col min="8" max="8" width="18" hidden="0" customWidth="1"/>
    <x:col min="9" max="9" width="36" hidden="0" customWidth="1"/>
    <x:col min="10" max="10" width="40" hidden="0" customWidth="1"/>
  </x:cols>
  <x:sheetData>
    <x:row r="1" ht="30" customHeight="1">
      <x:c r="A1" s="3" t="str">
        <x:v>SUMMIT SHOWDOWN  /  ROSTER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8" t="str">
        <x:v>Coverage plan, NOT a current-officeholder directory. Names/sources are intentionally blank. All publication is blocked pending verification and rights review. KOS is an internal code.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5" ht="34" customHeight="1">
      <x:c r="A5" s="19" t="str">
        <x:v>Catalogue code</x:v>
      </x:c>
      <x:c r="B5" s="19" t="str">
        <x:v>Coverage label</x:v>
      </x:c>
      <x:c r="C5" s="19" t="str">
        <x:v>Coverage group</x:v>
      </x:c>
      <x:c r="D5" s="19" t="str">
        <x:v>Officeholder</x:v>
      </x:c>
      <x:c r="E5" s="19" t="str">
        <x:v>Office title</x:v>
      </x:c>
      <x:c r="F5" s="19" t="str">
        <x:v>Official source URL</x:v>
      </x:c>
      <x:c r="G5" s="19" t="str">
        <x:v>Verified at</x:v>
      </x:c>
      <x:c r="H5" s="19" t="str">
        <x:v>Asset status</x:v>
      </x:c>
      <x:c r="I5" s="19" t="str">
        <x:v>Publication status</x:v>
      </x:c>
      <x:c r="J5" s="19" t="str">
        <x:v>Editorial notes</x:v>
      </x:c>
    </x:row>
    <x:row r="6" ht="86" customHeight="1">
      <x:c r="A6" s="13" t="str">
        <x:v>AL</x:v>
      </x:c>
      <x:c r="B6" s="13" t="str">
        <x:v>Albania</x:v>
      </x:c>
      <x:c r="C6" s="13" t="str">
        <x:v>European production scope</x:v>
      </x:c>
      <x:c r="D6" s="13"/>
      <x:c r="E6" s="13"/>
      <x:c r="F6" s="13"/>
      <x:c r="G6" s="13"/>
      <x:c r="H6" s="13" t="str">
        <x:v>Not started</x:v>
      </x:c>
      <x:c r="I6" s="13" t="str">
        <x:v>Blocked - verification required</x:v>
      </x:c>
      <x:c r="J6" s="13" t="str">
        <x:v>Verify the current relevant offices and office-holders before creating a likeness record.</x:v>
      </x:c>
    </x:row>
    <x:row r="7" ht="86" customHeight="1">
      <x:c r="A7" s="13" t="str">
        <x:v>AD</x:v>
      </x:c>
      <x:c r="B7" s="13" t="str">
        <x:v>Andorra</x:v>
      </x:c>
      <x:c r="C7" s="13" t="str">
        <x:v>European production scope</x:v>
      </x:c>
      <x:c r="D7" s="13"/>
      <x:c r="E7" s="13"/>
      <x:c r="F7" s="13"/>
      <x:c r="G7" s="13"/>
      <x:c r="H7" s="13" t="str">
        <x:v>Not started</x:v>
      </x:c>
      <x:c r="I7" s="13" t="str">
        <x:v>Blocked - verification required</x:v>
      </x:c>
      <x:c r="J7" s="13" t="str">
        <x:v>Verify the current relevant offices and office-holders before creating a likeness record. Constitutional office structure requires explicit editorial review; do not assume one president plus one prime minister.</x:v>
      </x:c>
    </x:row>
    <x:row r="8" ht="86" customHeight="1">
      <x:c r="A8" s="13" t="str">
        <x:v>AT</x:v>
      </x:c>
      <x:c r="B8" s="13" t="str">
        <x:v>Austria</x:v>
      </x:c>
      <x:c r="C8" s="13" t="str">
        <x:v>European production scope</x:v>
      </x:c>
      <x:c r="D8" s="13"/>
      <x:c r="E8" s="13"/>
      <x:c r="F8" s="13"/>
      <x:c r="G8" s="13"/>
      <x:c r="H8" s="13" t="str">
        <x:v>Not started</x:v>
      </x:c>
      <x:c r="I8" s="13" t="str">
        <x:v>Blocked - verification required</x:v>
      </x:c>
      <x:c r="J8" s="13" t="str">
        <x:v>Verify the current relevant offices and office-holders before creating a likeness record.</x:v>
      </x:c>
    </x:row>
    <x:row r="9" ht="86" customHeight="1">
      <x:c r="A9" s="13" t="str">
        <x:v>BY</x:v>
      </x:c>
      <x:c r="B9" s="13" t="str">
        <x:v>Belarus</x:v>
      </x:c>
      <x:c r="C9" s="13" t="str">
        <x:v>European production scope</x:v>
      </x:c>
      <x:c r="D9" s="13"/>
      <x:c r="E9" s="13"/>
      <x:c r="F9" s="13"/>
      <x:c r="G9" s="13"/>
      <x:c r="H9" s="13" t="str">
        <x:v>Not started</x:v>
      </x:c>
      <x:c r="I9" s="13" t="str">
        <x:v>Blocked - verification required</x:v>
      </x:c>
      <x:c r="J9" s="13" t="str">
        <x:v>Verify the current relevant offices and office-holders before creating a likeness record.</x:v>
      </x:c>
    </x:row>
    <x:row r="10" ht="86" customHeight="1">
      <x:c r="A10" s="13" t="str">
        <x:v>BE</x:v>
      </x:c>
      <x:c r="B10" s="13" t="str">
        <x:v>Belgium</x:v>
      </x:c>
      <x:c r="C10" s="13" t="str">
        <x:v>European production scope</x:v>
      </x:c>
      <x:c r="D10" s="13"/>
      <x:c r="E10" s="13"/>
      <x:c r="F10" s="13"/>
      <x:c r="G10" s="13"/>
      <x:c r="H10" s="13" t="str">
        <x:v>Not started</x:v>
      </x:c>
      <x:c r="I10" s="13" t="str">
        <x:v>Blocked - verification required</x:v>
      </x:c>
      <x:c r="J10" s="13" t="str">
        <x:v>Verify the current relevant offices and office-holders before creating a likeness record.</x:v>
      </x:c>
    </x:row>
    <x:row r="11" ht="86" customHeight="1">
      <x:c r="A11" s="13" t="str">
        <x:v>BA</x:v>
      </x:c>
      <x:c r="B11" s="13" t="str">
        <x:v>Bosnia and Herzegovina</x:v>
      </x:c>
      <x:c r="C11" s="13" t="str">
        <x:v>European production scope</x:v>
      </x:c>
      <x:c r="D11" s="13"/>
      <x:c r="E11" s="13"/>
      <x:c r="F11" s="13"/>
      <x:c r="G11" s="13"/>
      <x:c r="H11" s="13" t="str">
        <x:v>Not started</x:v>
      </x:c>
      <x:c r="I11" s="13" t="str">
        <x:v>Blocked - verification required</x:v>
      </x:c>
      <x:c r="J11" s="13" t="str">
        <x:v>Verify the current relevant offices and office-holders before creating a likeness record. Constitutional office structure requires explicit editorial review; do not assume one president plus one prime minister.</x:v>
      </x:c>
    </x:row>
    <x:row r="12" ht="86" customHeight="1">
      <x:c r="A12" s="13" t="str">
        <x:v>BG</x:v>
      </x:c>
      <x:c r="B12" s="13" t="str">
        <x:v>Bulgaria</x:v>
      </x:c>
      <x:c r="C12" s="13" t="str">
        <x:v>European production scope</x:v>
      </x:c>
      <x:c r="D12" s="13"/>
      <x:c r="E12" s="13"/>
      <x:c r="F12" s="13"/>
      <x:c r="G12" s="13"/>
      <x:c r="H12" s="13" t="str">
        <x:v>Not started</x:v>
      </x:c>
      <x:c r="I12" s="13" t="str">
        <x:v>Blocked - verification required</x:v>
      </x:c>
      <x:c r="J12" s="13" t="str">
        <x:v>Verify the current relevant offices and office-holders before creating a likeness record.</x:v>
      </x:c>
    </x:row>
    <x:row r="13" ht="86" customHeight="1">
      <x:c r="A13" s="13" t="str">
        <x:v>HR</x:v>
      </x:c>
      <x:c r="B13" s="13" t="str">
        <x:v>Croatia</x:v>
      </x:c>
      <x:c r="C13" s="13" t="str">
        <x:v>European production scope</x:v>
      </x:c>
      <x:c r="D13" s="13"/>
      <x:c r="E13" s="13"/>
      <x:c r="F13" s="13"/>
      <x:c r="G13" s="13"/>
      <x:c r="H13" s="13" t="str">
        <x:v>Not started</x:v>
      </x:c>
      <x:c r="I13" s="13" t="str">
        <x:v>Blocked - verification required</x:v>
      </x:c>
      <x:c r="J13" s="13" t="str">
        <x:v>Verify the current relevant offices and office-holders before creating a likeness record.</x:v>
      </x:c>
    </x:row>
    <x:row r="14" ht="86" customHeight="1">
      <x:c r="A14" s="13" t="str">
        <x:v>CZ</x:v>
      </x:c>
      <x:c r="B14" s="13" t="str">
        <x:v>Czechia</x:v>
      </x:c>
      <x:c r="C14" s="13" t="str">
        <x:v>European production scope</x:v>
      </x:c>
      <x:c r="D14" s="13"/>
      <x:c r="E14" s="13"/>
      <x:c r="F14" s="13"/>
      <x:c r="G14" s="13"/>
      <x:c r="H14" s="13" t="str">
        <x:v>Not started</x:v>
      </x:c>
      <x:c r="I14" s="13" t="str">
        <x:v>Blocked - verification required</x:v>
      </x:c>
      <x:c r="J14" s="13" t="str">
        <x:v>Verify the current relevant offices and office-holders before creating a likeness record.</x:v>
      </x:c>
    </x:row>
    <x:row r="15" ht="86" customHeight="1">
      <x:c r="A15" s="13" t="str">
        <x:v>DK</x:v>
      </x:c>
      <x:c r="B15" s="13" t="str">
        <x:v>Denmark</x:v>
      </x:c>
      <x:c r="C15" s="13" t="str">
        <x:v>European production scope</x:v>
      </x:c>
      <x:c r="D15" s="13"/>
      <x:c r="E15" s="13"/>
      <x:c r="F15" s="13"/>
      <x:c r="G15" s="13"/>
      <x:c r="H15" s="13" t="str">
        <x:v>Not started</x:v>
      </x:c>
      <x:c r="I15" s="13" t="str">
        <x:v>Blocked - verification required</x:v>
      </x:c>
      <x:c r="J15" s="13" t="str">
        <x:v>Verify the current relevant offices and office-holders before creating a likeness record.</x:v>
      </x:c>
    </x:row>
    <x:row r="16" ht="86" customHeight="1">
      <x:c r="A16" s="13" t="str">
        <x:v>EE</x:v>
      </x:c>
      <x:c r="B16" s="13" t="str">
        <x:v>Estonia</x:v>
      </x:c>
      <x:c r="C16" s="13" t="str">
        <x:v>European production scope</x:v>
      </x:c>
      <x:c r="D16" s="13"/>
      <x:c r="E16" s="13"/>
      <x:c r="F16" s="13"/>
      <x:c r="G16" s="13"/>
      <x:c r="H16" s="13" t="str">
        <x:v>Not started</x:v>
      </x:c>
      <x:c r="I16" s="13" t="str">
        <x:v>Blocked - verification required</x:v>
      </x:c>
      <x:c r="J16" s="13" t="str">
        <x:v>Verify the current relevant offices and office-holders before creating a likeness record.</x:v>
      </x:c>
    </x:row>
    <x:row r="17" ht="86" customHeight="1">
      <x:c r="A17" s="13" t="str">
        <x:v>FI</x:v>
      </x:c>
      <x:c r="B17" s="13" t="str">
        <x:v>Finland</x:v>
      </x:c>
      <x:c r="C17" s="13" t="str">
        <x:v>European production scope</x:v>
      </x:c>
      <x:c r="D17" s="13"/>
      <x:c r="E17" s="13"/>
      <x:c r="F17" s="13"/>
      <x:c r="G17" s="13"/>
      <x:c r="H17" s="13" t="str">
        <x:v>Not started</x:v>
      </x:c>
      <x:c r="I17" s="13" t="str">
        <x:v>Blocked - verification required</x:v>
      </x:c>
      <x:c r="J17" s="13" t="str">
        <x:v>Verify the current relevant offices and office-holders before creating a likeness record.</x:v>
      </x:c>
    </x:row>
    <x:row r="18" ht="86" customHeight="1">
      <x:c r="A18" s="13" t="str">
        <x:v>FR</x:v>
      </x:c>
      <x:c r="B18" s="13" t="str">
        <x:v>France</x:v>
      </x:c>
      <x:c r="C18" s="13" t="str">
        <x:v>European production scope</x:v>
      </x:c>
      <x:c r="D18" s="13"/>
      <x:c r="E18" s="13"/>
      <x:c r="F18" s="13"/>
      <x:c r="G18" s="13"/>
      <x:c r="H18" s="13" t="str">
        <x:v>Not started</x:v>
      </x:c>
      <x:c r="I18" s="13" t="str">
        <x:v>Blocked - verification required</x:v>
      </x:c>
      <x:c r="J18" s="13" t="str">
        <x:v>Verify the current relevant offices and office-holders before creating a likeness record.</x:v>
      </x:c>
    </x:row>
    <x:row r="19" ht="86" customHeight="1">
      <x:c r="A19" s="13" t="str">
        <x:v>DE</x:v>
      </x:c>
      <x:c r="B19" s="13" t="str">
        <x:v>Germany</x:v>
      </x:c>
      <x:c r="C19" s="13" t="str">
        <x:v>European production scope</x:v>
      </x:c>
      <x:c r="D19" s="13"/>
      <x:c r="E19" s="13"/>
      <x:c r="F19" s="13"/>
      <x:c r="G19" s="13"/>
      <x:c r="H19" s="13" t="str">
        <x:v>Not started</x:v>
      </x:c>
      <x:c r="I19" s="13" t="str">
        <x:v>Blocked - verification required</x:v>
      </x:c>
      <x:c r="J19" s="13" t="str">
        <x:v>Verify the current relevant offices and office-holders before creating a likeness record.</x:v>
      </x:c>
    </x:row>
    <x:row r="20" ht="86" customHeight="1">
      <x:c r="A20" s="13" t="str">
        <x:v>GR</x:v>
      </x:c>
      <x:c r="B20" s="13" t="str">
        <x:v>Greece</x:v>
      </x:c>
      <x:c r="C20" s="13" t="str">
        <x:v>European production scope</x:v>
      </x:c>
      <x:c r="D20" s="13"/>
      <x:c r="E20" s="13"/>
      <x:c r="F20" s="13"/>
      <x:c r="G20" s="13"/>
      <x:c r="H20" s="13" t="str">
        <x:v>Not started</x:v>
      </x:c>
      <x:c r="I20" s="13" t="str">
        <x:v>Blocked - verification required</x:v>
      </x:c>
      <x:c r="J20" s="13" t="str">
        <x:v>Verify the current relevant offices and office-holders before creating a likeness record.</x:v>
      </x:c>
    </x:row>
    <x:row r="21" ht="86" customHeight="1">
      <x:c r="A21" s="13" t="str">
        <x:v>HU</x:v>
      </x:c>
      <x:c r="B21" s="13" t="str">
        <x:v>Hungary</x:v>
      </x:c>
      <x:c r="C21" s="13" t="str">
        <x:v>European production scope</x:v>
      </x:c>
      <x:c r="D21" s="13"/>
      <x:c r="E21" s="13"/>
      <x:c r="F21" s="13"/>
      <x:c r="G21" s="13"/>
      <x:c r="H21" s="13" t="str">
        <x:v>Not started</x:v>
      </x:c>
      <x:c r="I21" s="13" t="str">
        <x:v>Blocked - verification required</x:v>
      </x:c>
      <x:c r="J21" s="13" t="str">
        <x:v>Verify the current relevant offices and office-holders before creating a likeness record.</x:v>
      </x:c>
    </x:row>
    <x:row r="22" ht="86" customHeight="1">
      <x:c r="A22" s="13" t="str">
        <x:v>IS</x:v>
      </x:c>
      <x:c r="B22" s="13" t="str">
        <x:v>Iceland</x:v>
      </x:c>
      <x:c r="C22" s="13" t="str">
        <x:v>European production scope</x:v>
      </x:c>
      <x:c r="D22" s="13"/>
      <x:c r="E22" s="13"/>
      <x:c r="F22" s="13"/>
      <x:c r="G22" s="13"/>
      <x:c r="H22" s="13" t="str">
        <x:v>Not started</x:v>
      </x:c>
      <x:c r="I22" s="13" t="str">
        <x:v>Blocked - verification required</x:v>
      </x:c>
      <x:c r="J22" s="13" t="str">
        <x:v>Verify the current relevant offices and office-holders before creating a likeness record.</x:v>
      </x:c>
    </x:row>
    <x:row r="23" ht="86" customHeight="1">
      <x:c r="A23" s="13" t="str">
        <x:v>IE</x:v>
      </x:c>
      <x:c r="B23" s="13" t="str">
        <x:v>Ireland</x:v>
      </x:c>
      <x:c r="C23" s="13" t="str">
        <x:v>European production scope</x:v>
      </x:c>
      <x:c r="D23" s="13"/>
      <x:c r="E23" s="13"/>
      <x:c r="F23" s="13"/>
      <x:c r="G23" s="13"/>
      <x:c r="H23" s="13" t="str">
        <x:v>Not started</x:v>
      </x:c>
      <x:c r="I23" s="13" t="str">
        <x:v>Blocked - verification required</x:v>
      </x:c>
      <x:c r="J23" s="13" t="str">
        <x:v>Verify the current relevant offices and office-holders before creating a likeness record.</x:v>
      </x:c>
    </x:row>
    <x:row r="24" ht="86" customHeight="1">
      <x:c r="A24" s="13" t="str">
        <x:v>IT</x:v>
      </x:c>
      <x:c r="B24" s="13" t="str">
        <x:v>Italy</x:v>
      </x:c>
      <x:c r="C24" s="13" t="str">
        <x:v>European production scope</x:v>
      </x:c>
      <x:c r="D24" s="13"/>
      <x:c r="E24" s="13"/>
      <x:c r="F24" s="13"/>
      <x:c r="G24" s="13"/>
      <x:c r="H24" s="13" t="str">
        <x:v>Not started</x:v>
      </x:c>
      <x:c r="I24" s="13" t="str">
        <x:v>Blocked - verification required</x:v>
      </x:c>
      <x:c r="J24" s="13" t="str">
        <x:v>Verify the current relevant offices and office-holders before creating a likeness record.</x:v>
      </x:c>
    </x:row>
    <x:row r="25" ht="86" customHeight="1">
      <x:c r="A25" s="13" t="str">
        <x:v>LV</x:v>
      </x:c>
      <x:c r="B25" s="13" t="str">
        <x:v>Latvia</x:v>
      </x:c>
      <x:c r="C25" s="13" t="str">
        <x:v>European production scope</x:v>
      </x:c>
      <x:c r="D25" s="13"/>
      <x:c r="E25" s="13"/>
      <x:c r="F25" s="13"/>
      <x:c r="G25" s="13"/>
      <x:c r="H25" s="13" t="str">
        <x:v>Not started</x:v>
      </x:c>
      <x:c r="I25" s="13" t="str">
        <x:v>Blocked - verification required</x:v>
      </x:c>
      <x:c r="J25" s="13" t="str">
        <x:v>Verify the current relevant offices and office-holders before creating a likeness record.</x:v>
      </x:c>
    </x:row>
    <x:row r="26" ht="86" customHeight="1">
      <x:c r="A26" s="13" t="str">
        <x:v>LI</x:v>
      </x:c>
      <x:c r="B26" s="13" t="str">
        <x:v>Liechtenstein</x:v>
      </x:c>
      <x:c r="C26" s="13" t="str">
        <x:v>European production scope</x:v>
      </x:c>
      <x:c r="D26" s="13"/>
      <x:c r="E26" s="13"/>
      <x:c r="F26" s="13"/>
      <x:c r="G26" s="13"/>
      <x:c r="H26" s="13" t="str">
        <x:v>Not started</x:v>
      </x:c>
      <x:c r="I26" s="13" t="str">
        <x:v>Blocked - verification required</x:v>
      </x:c>
      <x:c r="J26" s="13" t="str">
        <x:v>Verify the current relevant offices and office-holders before creating a likeness record. Constitutional office structure requires explicit editorial review; do not assume one president plus one prime minister.</x:v>
      </x:c>
    </x:row>
    <x:row r="27" ht="86" customHeight="1">
      <x:c r="A27" s="13" t="str">
        <x:v>LT</x:v>
      </x:c>
      <x:c r="B27" s="13" t="str">
        <x:v>Lithuania</x:v>
      </x:c>
      <x:c r="C27" s="13" t="str">
        <x:v>European production scope</x:v>
      </x:c>
      <x:c r="D27" s="13"/>
      <x:c r="E27" s="13"/>
      <x:c r="F27" s="13"/>
      <x:c r="G27" s="13"/>
      <x:c r="H27" s="13" t="str">
        <x:v>Not started</x:v>
      </x:c>
      <x:c r="I27" s="13" t="str">
        <x:v>Blocked - verification required</x:v>
      </x:c>
      <x:c r="J27" s="13" t="str">
        <x:v>Verify the current relevant offices and office-holders before creating a likeness record.</x:v>
      </x:c>
    </x:row>
    <x:row r="28" ht="86" customHeight="1">
      <x:c r="A28" s="13" t="str">
        <x:v>LU</x:v>
      </x:c>
      <x:c r="B28" s="13" t="str">
        <x:v>Luxembourg</x:v>
      </x:c>
      <x:c r="C28" s="13" t="str">
        <x:v>European production scope</x:v>
      </x:c>
      <x:c r="D28" s="13"/>
      <x:c r="E28" s="13"/>
      <x:c r="F28" s="13"/>
      <x:c r="G28" s="13"/>
      <x:c r="H28" s="13" t="str">
        <x:v>Not started</x:v>
      </x:c>
      <x:c r="I28" s="13" t="str">
        <x:v>Blocked - verification required</x:v>
      </x:c>
      <x:c r="J28" s="13" t="str">
        <x:v>Verify the current relevant offices and office-holders before creating a likeness record.</x:v>
      </x:c>
    </x:row>
    <x:row r="29" ht="86" customHeight="1">
      <x:c r="A29" s="13" t="str">
        <x:v>MT</x:v>
      </x:c>
      <x:c r="B29" s="13" t="str">
        <x:v>Malta</x:v>
      </x:c>
      <x:c r="C29" s="13" t="str">
        <x:v>European production scope</x:v>
      </x:c>
      <x:c r="D29" s="13"/>
      <x:c r="E29" s="13"/>
      <x:c r="F29" s="13"/>
      <x:c r="G29" s="13"/>
      <x:c r="H29" s="13" t="str">
        <x:v>Not started</x:v>
      </x:c>
      <x:c r="I29" s="13" t="str">
        <x:v>Blocked - verification required</x:v>
      </x:c>
      <x:c r="J29" s="13" t="str">
        <x:v>Verify the current relevant offices and office-holders before creating a likeness record.</x:v>
      </x:c>
    </x:row>
    <x:row r="30" ht="86" customHeight="1">
      <x:c r="A30" s="13" t="str">
        <x:v>MD</x:v>
      </x:c>
      <x:c r="B30" s="13" t="str">
        <x:v>Moldova</x:v>
      </x:c>
      <x:c r="C30" s="13" t="str">
        <x:v>European production scope</x:v>
      </x:c>
      <x:c r="D30" s="13"/>
      <x:c r="E30" s="13"/>
      <x:c r="F30" s="13"/>
      <x:c r="G30" s="13"/>
      <x:c r="H30" s="13" t="str">
        <x:v>Not started</x:v>
      </x:c>
      <x:c r="I30" s="13" t="str">
        <x:v>Blocked - verification required</x:v>
      </x:c>
      <x:c r="J30" s="13" t="str">
        <x:v>Verify the current relevant offices and office-holders before creating a likeness record.</x:v>
      </x:c>
    </x:row>
    <x:row r="31" ht="86" customHeight="1">
      <x:c r="A31" s="13" t="str">
        <x:v>MC</x:v>
      </x:c>
      <x:c r="B31" s="13" t="str">
        <x:v>Monaco</x:v>
      </x:c>
      <x:c r="C31" s="13" t="str">
        <x:v>European production scope</x:v>
      </x:c>
      <x:c r="D31" s="13"/>
      <x:c r="E31" s="13"/>
      <x:c r="F31" s="13"/>
      <x:c r="G31" s="13"/>
      <x:c r="H31" s="13" t="str">
        <x:v>Not started</x:v>
      </x:c>
      <x:c r="I31" s="13" t="str">
        <x:v>Blocked - verification required</x:v>
      </x:c>
      <x:c r="J31" s="13" t="str">
        <x:v>Verify the current relevant offices and office-holders before creating a likeness record. Constitutional office structure requires explicit editorial review; do not assume one president plus one prime minister.</x:v>
      </x:c>
    </x:row>
    <x:row r="32" ht="86" customHeight="1">
      <x:c r="A32" s="13" t="str">
        <x:v>ME</x:v>
      </x:c>
      <x:c r="B32" s="13" t="str">
        <x:v>Montenegro</x:v>
      </x:c>
      <x:c r="C32" s="13" t="str">
        <x:v>European production scope</x:v>
      </x:c>
      <x:c r="D32" s="13"/>
      <x:c r="E32" s="13"/>
      <x:c r="F32" s="13"/>
      <x:c r="G32" s="13"/>
      <x:c r="H32" s="13" t="str">
        <x:v>Not started</x:v>
      </x:c>
      <x:c r="I32" s="13" t="str">
        <x:v>Blocked - verification required</x:v>
      </x:c>
      <x:c r="J32" s="13" t="str">
        <x:v>Verify the current relevant offices and office-holders before creating a likeness record.</x:v>
      </x:c>
    </x:row>
    <x:row r="33" ht="86" customHeight="1">
      <x:c r="A33" s="13" t="str">
        <x:v>NL</x:v>
      </x:c>
      <x:c r="B33" s="13" t="str">
        <x:v>Netherlands</x:v>
      </x:c>
      <x:c r="C33" s="13" t="str">
        <x:v>European production scope</x:v>
      </x:c>
      <x:c r="D33" s="13"/>
      <x:c r="E33" s="13"/>
      <x:c r="F33" s="13"/>
      <x:c r="G33" s="13"/>
      <x:c r="H33" s="13" t="str">
        <x:v>Not started</x:v>
      </x:c>
      <x:c r="I33" s="13" t="str">
        <x:v>Blocked - verification required</x:v>
      </x:c>
      <x:c r="J33" s="13" t="str">
        <x:v>Verify the current relevant offices and office-holders before creating a likeness record.</x:v>
      </x:c>
    </x:row>
    <x:row r="34" ht="86" customHeight="1">
      <x:c r="A34" s="13" t="str">
        <x:v>MK</x:v>
      </x:c>
      <x:c r="B34" s="13" t="str">
        <x:v>North Macedonia</x:v>
      </x:c>
      <x:c r="C34" s="13" t="str">
        <x:v>European production scope</x:v>
      </x:c>
      <x:c r="D34" s="13"/>
      <x:c r="E34" s="13"/>
      <x:c r="F34" s="13"/>
      <x:c r="G34" s="13"/>
      <x:c r="H34" s="13" t="str">
        <x:v>Not started</x:v>
      </x:c>
      <x:c r="I34" s="13" t="str">
        <x:v>Blocked - verification required</x:v>
      </x:c>
      <x:c r="J34" s="13" t="str">
        <x:v>Verify the current relevant offices and office-holders before creating a likeness record.</x:v>
      </x:c>
    </x:row>
    <x:row r="35" ht="86" customHeight="1">
      <x:c r="A35" s="13" t="str">
        <x:v>NO</x:v>
      </x:c>
      <x:c r="B35" s="13" t="str">
        <x:v>Norway</x:v>
      </x:c>
      <x:c r="C35" s="13" t="str">
        <x:v>European production scope</x:v>
      </x:c>
      <x:c r="D35" s="13"/>
      <x:c r="E35" s="13"/>
      <x:c r="F35" s="13"/>
      <x:c r="G35" s="13"/>
      <x:c r="H35" s="13" t="str">
        <x:v>Not started</x:v>
      </x:c>
      <x:c r="I35" s="13" t="str">
        <x:v>Blocked - verification required</x:v>
      </x:c>
      <x:c r="J35" s="13" t="str">
        <x:v>Verify the current relevant offices and office-holders before creating a likeness record.</x:v>
      </x:c>
    </x:row>
    <x:row r="36" ht="86" customHeight="1">
      <x:c r="A36" s="13" t="str">
        <x:v>PL</x:v>
      </x:c>
      <x:c r="B36" s="13" t="str">
        <x:v>Poland</x:v>
      </x:c>
      <x:c r="C36" s="13" t="str">
        <x:v>European production scope</x:v>
      </x:c>
      <x:c r="D36" s="13"/>
      <x:c r="E36" s="13"/>
      <x:c r="F36" s="13"/>
      <x:c r="G36" s="13"/>
      <x:c r="H36" s="13" t="str">
        <x:v>Not started</x:v>
      </x:c>
      <x:c r="I36" s="13" t="str">
        <x:v>Blocked - verification required</x:v>
      </x:c>
      <x:c r="J36" s="13" t="str">
        <x:v>Verify the current relevant offices and office-holders before creating a likeness record.</x:v>
      </x:c>
    </x:row>
    <x:row r="37" ht="86" customHeight="1">
      <x:c r="A37" s="13" t="str">
        <x:v>PT</x:v>
      </x:c>
      <x:c r="B37" s="13" t="str">
        <x:v>Portugal</x:v>
      </x:c>
      <x:c r="C37" s="13" t="str">
        <x:v>European production scope</x:v>
      </x:c>
      <x:c r="D37" s="13"/>
      <x:c r="E37" s="13"/>
      <x:c r="F37" s="13"/>
      <x:c r="G37" s="13"/>
      <x:c r="H37" s="13" t="str">
        <x:v>Not started</x:v>
      </x:c>
      <x:c r="I37" s="13" t="str">
        <x:v>Blocked - verification required</x:v>
      </x:c>
      <x:c r="J37" s="13" t="str">
        <x:v>Verify the current relevant offices and office-holders before creating a likeness record.</x:v>
      </x:c>
    </x:row>
    <x:row r="38" ht="86" customHeight="1">
      <x:c r="A38" s="13" t="str">
        <x:v>RO</x:v>
      </x:c>
      <x:c r="B38" s="13" t="str">
        <x:v>Romania</x:v>
      </x:c>
      <x:c r="C38" s="13" t="str">
        <x:v>European production scope</x:v>
      </x:c>
      <x:c r="D38" s="13"/>
      <x:c r="E38" s="13"/>
      <x:c r="F38" s="13"/>
      <x:c r="G38" s="13"/>
      <x:c r="H38" s="13" t="str">
        <x:v>Not started</x:v>
      </x:c>
      <x:c r="I38" s="13" t="str">
        <x:v>Blocked - verification required</x:v>
      </x:c>
      <x:c r="J38" s="13" t="str">
        <x:v>Verify the current relevant offices and office-holders before creating a likeness record.</x:v>
      </x:c>
    </x:row>
    <x:row r="39" ht="86" customHeight="1">
      <x:c r="A39" s="13" t="str">
        <x:v>RU</x:v>
      </x:c>
      <x:c r="B39" s="13" t="str">
        <x:v>Russia</x:v>
      </x:c>
      <x:c r="C39" s="13" t="str">
        <x:v>European production scope</x:v>
      </x:c>
      <x:c r="D39" s="13"/>
      <x:c r="E39" s="13"/>
      <x:c r="F39" s="13"/>
      <x:c r="G39" s="13"/>
      <x:c r="H39" s="13" t="str">
        <x:v>Not started</x:v>
      </x:c>
      <x:c r="I39" s="13" t="str">
        <x:v>Blocked - verification required</x:v>
      </x:c>
      <x:c r="J39" s="13" t="str">
        <x:v>Verify the current relevant offices and office-holders before creating a likeness record.</x:v>
      </x:c>
    </x:row>
    <x:row r="40" ht="86" customHeight="1">
      <x:c r="A40" s="13" t="str">
        <x:v>SM</x:v>
      </x:c>
      <x:c r="B40" s="13" t="str">
        <x:v>San Marino</x:v>
      </x:c>
      <x:c r="C40" s="13" t="str">
        <x:v>European production scope</x:v>
      </x:c>
      <x:c r="D40" s="13"/>
      <x:c r="E40" s="13"/>
      <x:c r="F40" s="13"/>
      <x:c r="G40" s="13"/>
      <x:c r="H40" s="13" t="str">
        <x:v>Not started</x:v>
      </x:c>
      <x:c r="I40" s="13" t="str">
        <x:v>Blocked - verification required</x:v>
      </x:c>
      <x:c r="J40" s="13" t="str">
        <x:v>Verify the current relevant offices and office-holders before creating a likeness record. Constitutional office structure requires explicit editorial review; do not assume one president plus one prime minister.</x:v>
      </x:c>
    </x:row>
    <x:row r="41" ht="86" customHeight="1">
      <x:c r="A41" s="13" t="str">
        <x:v>RS</x:v>
      </x:c>
      <x:c r="B41" s="13" t="str">
        <x:v>Serbia</x:v>
      </x:c>
      <x:c r="C41" s="13" t="str">
        <x:v>European production scope</x:v>
      </x:c>
      <x:c r="D41" s="13"/>
      <x:c r="E41" s="13"/>
      <x:c r="F41" s="13"/>
      <x:c r="G41" s="13"/>
      <x:c r="H41" s="13" t="str">
        <x:v>Not started</x:v>
      </x:c>
      <x:c r="I41" s="13" t="str">
        <x:v>Blocked - verification required</x:v>
      </x:c>
      <x:c r="J41" s="13" t="str">
        <x:v>Verify the current relevant offices and office-holders before creating a likeness record.</x:v>
      </x:c>
    </x:row>
    <x:row r="42" ht="86" customHeight="1">
      <x:c r="A42" s="13" t="str">
        <x:v>SK</x:v>
      </x:c>
      <x:c r="B42" s="13" t="str">
        <x:v>Slovakia</x:v>
      </x:c>
      <x:c r="C42" s="13" t="str">
        <x:v>European production scope</x:v>
      </x:c>
      <x:c r="D42" s="13"/>
      <x:c r="E42" s="13"/>
      <x:c r="F42" s="13"/>
      <x:c r="G42" s="13"/>
      <x:c r="H42" s="13" t="str">
        <x:v>Not started</x:v>
      </x:c>
      <x:c r="I42" s="13" t="str">
        <x:v>Blocked - verification required</x:v>
      </x:c>
      <x:c r="J42" s="13" t="str">
        <x:v>Verify the current relevant offices and office-holders before creating a likeness record.</x:v>
      </x:c>
    </x:row>
    <x:row r="43" ht="86" customHeight="1">
      <x:c r="A43" s="13" t="str">
        <x:v>SI</x:v>
      </x:c>
      <x:c r="B43" s="13" t="str">
        <x:v>Slovenia</x:v>
      </x:c>
      <x:c r="C43" s="13" t="str">
        <x:v>European production scope</x:v>
      </x:c>
      <x:c r="D43" s="13"/>
      <x:c r="E43" s="13"/>
      <x:c r="F43" s="13"/>
      <x:c r="G43" s="13"/>
      <x:c r="H43" s="13" t="str">
        <x:v>Not started</x:v>
      </x:c>
      <x:c r="I43" s="13" t="str">
        <x:v>Blocked - verification required</x:v>
      </x:c>
      <x:c r="J43" s="13" t="str">
        <x:v>Verify the current relevant offices and office-holders before creating a likeness record.</x:v>
      </x:c>
    </x:row>
    <x:row r="44" ht="86" customHeight="1">
      <x:c r="A44" s="13" t="str">
        <x:v>ES</x:v>
      </x:c>
      <x:c r="B44" s="13" t="str">
        <x:v>Spain</x:v>
      </x:c>
      <x:c r="C44" s="13" t="str">
        <x:v>European production scope</x:v>
      </x:c>
      <x:c r="D44" s="13"/>
      <x:c r="E44" s="13"/>
      <x:c r="F44" s="13"/>
      <x:c r="G44" s="13"/>
      <x:c r="H44" s="13" t="str">
        <x:v>Not started</x:v>
      </x:c>
      <x:c r="I44" s="13" t="str">
        <x:v>Blocked - verification required</x:v>
      </x:c>
      <x:c r="J44" s="13" t="str">
        <x:v>Verify the current relevant offices and office-holders before creating a likeness record.</x:v>
      </x:c>
    </x:row>
    <x:row r="45" ht="86" customHeight="1">
      <x:c r="A45" s="13" t="str">
        <x:v>SE</x:v>
      </x:c>
      <x:c r="B45" s="13" t="str">
        <x:v>Sweden</x:v>
      </x:c>
      <x:c r="C45" s="13" t="str">
        <x:v>European production scope</x:v>
      </x:c>
      <x:c r="D45" s="13"/>
      <x:c r="E45" s="13"/>
      <x:c r="F45" s="13"/>
      <x:c r="G45" s="13"/>
      <x:c r="H45" s="13" t="str">
        <x:v>Not started</x:v>
      </x:c>
      <x:c r="I45" s="13" t="str">
        <x:v>Blocked - verification required</x:v>
      </x:c>
      <x:c r="J45" s="13" t="str">
        <x:v>Verify the current relevant offices and office-holders before creating a likeness record.</x:v>
      </x:c>
    </x:row>
    <x:row r="46" ht="86" customHeight="1">
      <x:c r="A46" s="13" t="str">
        <x:v>CH</x:v>
      </x:c>
      <x:c r="B46" s="13" t="str">
        <x:v>Switzerland</x:v>
      </x:c>
      <x:c r="C46" s="13" t="str">
        <x:v>European production scope</x:v>
      </x:c>
      <x:c r="D46" s="13"/>
      <x:c r="E46" s="13"/>
      <x:c r="F46" s="13"/>
      <x:c r="G46" s="13"/>
      <x:c r="H46" s="13" t="str">
        <x:v>Not started</x:v>
      </x:c>
      <x:c r="I46" s="13" t="str">
        <x:v>Blocked - verification required</x:v>
      </x:c>
      <x:c r="J46" s="13" t="str">
        <x:v>Verify the current relevant offices and office-holders before creating a likeness record. Constitutional office structure requires explicit editorial review; do not assume one president plus one prime minister.</x:v>
      </x:c>
    </x:row>
    <x:row r="47" ht="86" customHeight="1">
      <x:c r="A47" s="13" t="str">
        <x:v>UA</x:v>
      </x:c>
      <x:c r="B47" s="13" t="str">
        <x:v>Ukraine</x:v>
      </x:c>
      <x:c r="C47" s="13" t="str">
        <x:v>European production scope</x:v>
      </x:c>
      <x:c r="D47" s="13"/>
      <x:c r="E47" s="13"/>
      <x:c r="F47" s="13"/>
      <x:c r="G47" s="13"/>
      <x:c r="H47" s="13" t="str">
        <x:v>Not started</x:v>
      </x:c>
      <x:c r="I47" s="13" t="str">
        <x:v>Blocked - verification required</x:v>
      </x:c>
      <x:c r="J47" s="13" t="str">
        <x:v>Verify the current relevant offices and office-holders before creating a likeness record.</x:v>
      </x:c>
    </x:row>
    <x:row r="48" ht="86" customHeight="1">
      <x:c r="A48" s="13" t="str">
        <x:v>GB</x:v>
      </x:c>
      <x:c r="B48" s="13" t="str">
        <x:v>United Kingdom</x:v>
      </x:c>
      <x:c r="C48" s="13" t="str">
        <x:v>European production scope</x:v>
      </x:c>
      <x:c r="D48" s="13"/>
      <x:c r="E48" s="13"/>
      <x:c r="F48" s="13"/>
      <x:c r="G48" s="13"/>
      <x:c r="H48" s="13" t="str">
        <x:v>Not started</x:v>
      </x:c>
      <x:c r="I48" s="13" t="str">
        <x:v>Blocked - verification required</x:v>
      </x:c>
      <x:c r="J48" s="13" t="str">
        <x:v>Verify the current relevant offices and office-holders before creating a likeness record.</x:v>
      </x:c>
    </x:row>
    <x:row r="49" ht="86" customHeight="1">
      <x:c r="A49" s="13" t="str">
        <x:v>VA</x:v>
      </x:c>
      <x:c r="B49" s="13" t="str">
        <x:v>Vatican City</x:v>
      </x:c>
      <x:c r="C49" s="13" t="str">
        <x:v>European production scope</x:v>
      </x:c>
      <x:c r="D49" s="13"/>
      <x:c r="E49" s="13"/>
      <x:c r="F49" s="13"/>
      <x:c r="G49" s="13"/>
      <x:c r="H49" s="13" t="str">
        <x:v>Not started</x:v>
      </x:c>
      <x:c r="I49" s="13" t="str">
        <x:v>Blocked - verification required</x:v>
      </x:c>
      <x:c r="J49" s="13" t="str">
        <x:v>Verify the current relevant offices and office-holders before creating a likeness record. Constitutional office structure requires explicit editorial review; do not assume one president plus one prime minister.</x:v>
      </x:c>
    </x:row>
    <x:row r="50" ht="86" customHeight="1">
      <x:c r="A50" s="13" t="str">
        <x:v>AM</x:v>
      </x:c>
      <x:c r="B50" s="13" t="str">
        <x:v>Armenia</x:v>
      </x:c>
      <x:c r="C50" s="13" t="str">
        <x:v>Expanded coverage review</x:v>
      </x:c>
      <x:c r="D50" s="13"/>
      <x:c r="E50" s="13"/>
      <x:c r="F50" s="13"/>
      <x:c r="G50" s="13"/>
      <x:c r="H50" s="13" t="str">
        <x:v>Not started</x:v>
      </x:c>
      <x:c r="I50" s="13" t="str">
        <x:v>Blocked - verification required</x:v>
      </x:c>
      <x:c r="J50" s="13" t="str">
        <x:v>Verify the current relevant offices and office-holders before creating a likeness record.</x:v>
      </x:c>
    </x:row>
    <x:row r="51" ht="86" customHeight="1">
      <x:c r="A51" s="13" t="str">
        <x:v>AZ</x:v>
      </x:c>
      <x:c r="B51" s="13" t="str">
        <x:v>Azerbaijan</x:v>
      </x:c>
      <x:c r="C51" s="13" t="str">
        <x:v>Expanded coverage review</x:v>
      </x:c>
      <x:c r="D51" s="13"/>
      <x:c r="E51" s="13"/>
      <x:c r="F51" s="13"/>
      <x:c r="G51" s="13"/>
      <x:c r="H51" s="13" t="str">
        <x:v>Not started</x:v>
      </x:c>
      <x:c r="I51" s="13" t="str">
        <x:v>Blocked - verification required</x:v>
      </x:c>
      <x:c r="J51" s="13" t="str">
        <x:v>Verify the current relevant offices and office-holders before creating a likeness record.</x:v>
      </x:c>
    </x:row>
    <x:row r="52" ht="86" customHeight="1">
      <x:c r="A52" s="13" t="str">
        <x:v>CY</x:v>
      </x:c>
      <x:c r="B52" s="13" t="str">
        <x:v>Cyprus</x:v>
      </x:c>
      <x:c r="C52" s="13" t="str">
        <x:v>Expanded coverage review</x:v>
      </x:c>
      <x:c r="D52" s="13"/>
      <x:c r="E52" s="13"/>
      <x:c r="F52" s="13"/>
      <x:c r="G52" s="13"/>
      <x:c r="H52" s="13" t="str">
        <x:v>Not started</x:v>
      </x:c>
      <x:c r="I52" s="13" t="str">
        <x:v>Blocked - verification required</x:v>
      </x:c>
      <x:c r="J52" s="13" t="str">
        <x:v>Verify the current relevant offices and office-holders before creating a likeness record.</x:v>
      </x:c>
    </x:row>
    <x:row r="53" ht="86" customHeight="1">
      <x:c r="A53" s="13" t="str">
        <x:v>GE</x:v>
      </x:c>
      <x:c r="B53" s="13" t="str">
        <x:v>Georgia</x:v>
      </x:c>
      <x:c r="C53" s="13" t="str">
        <x:v>Expanded coverage review</x:v>
      </x:c>
      <x:c r="D53" s="13"/>
      <x:c r="E53" s="13"/>
      <x:c r="F53" s="13"/>
      <x:c r="G53" s="13"/>
      <x:c r="H53" s="13" t="str">
        <x:v>Not started</x:v>
      </x:c>
      <x:c r="I53" s="13" t="str">
        <x:v>Blocked - verification required</x:v>
      </x:c>
      <x:c r="J53" s="13" t="str">
        <x:v>Verify the current relevant offices and office-holders before creating a likeness record.</x:v>
      </x:c>
    </x:row>
    <x:row r="54" ht="86" customHeight="1">
      <x:c r="A54" s="13" t="str">
        <x:v>KZ</x:v>
      </x:c>
      <x:c r="B54" s="13" t="str">
        <x:v>Kazakhstan</x:v>
      </x:c>
      <x:c r="C54" s="13" t="str">
        <x:v>Expanded coverage review</x:v>
      </x:c>
      <x:c r="D54" s="13"/>
      <x:c r="E54" s="13"/>
      <x:c r="F54" s="13"/>
      <x:c r="G54" s="13"/>
      <x:c r="H54" s="13" t="str">
        <x:v>Not started</x:v>
      </x:c>
      <x:c r="I54" s="13" t="str">
        <x:v>Blocked - verification required</x:v>
      </x:c>
      <x:c r="J54" s="13" t="str">
        <x:v>Verify the current relevant offices and office-holders before creating a likeness record.</x:v>
      </x:c>
    </x:row>
    <x:row r="55" ht="86" customHeight="1">
      <x:c r="A55" s="13" t="str">
        <x:v>TR</x:v>
      </x:c>
      <x:c r="B55" s="13" t="str">
        <x:v>Türkiye</x:v>
      </x:c>
      <x:c r="C55" s="13" t="str">
        <x:v>Expanded coverage review</x:v>
      </x:c>
      <x:c r="D55" s="13"/>
      <x:c r="E55" s="13"/>
      <x:c r="F55" s="13"/>
      <x:c r="G55" s="13"/>
      <x:c r="H55" s="13" t="str">
        <x:v>Not started</x:v>
      </x:c>
      <x:c r="I55" s="13" t="str">
        <x:v>Blocked - verification required</x:v>
      </x:c>
      <x:c r="J55" s="13" t="str">
        <x:v>Verify the current relevant offices and office-holders before creating a likeness record.</x:v>
      </x:c>
    </x:row>
    <x:row r="56" ht="86" customHeight="1">
      <x:c r="A56" s="13" t="str">
        <x:v>KOS</x:v>
      </x:c>
      <x:c r="B56" s="13" t="str">
        <x:v>Kosovo</x:v>
      </x:c>
      <x:c r="C56" s="13" t="str">
        <x:v>Expanded coverage review</x:v>
      </x:c>
      <x:c r="D56" s="13"/>
      <x:c r="E56" s="13"/>
      <x:c r="F56" s="13"/>
      <x:c r="G56" s="13"/>
      <x:c r="H56" s="13" t="str">
        <x:v>Not started</x:v>
      </x:c>
      <x:c r="I56" s="13" t="str">
        <x:v>Blocked - verification required</x:v>
      </x:c>
      <x:c r="J56" s="13" t="str">
        <x:v>Verify the current relevant offices and office-holders before creating a likeness record. KOS is an internal catalogue code; coverage does not express a position on recognition.</x:v>
      </x:c>
    </x:row>
    <x:row r="57" ht="86" customHeight="1">
      <x:c r="A57" s="13" t="str">
        <x:v>US</x:v>
      </x:c>
      <x:c r="B57" s="13" t="str">
        <x:v>United States</x:v>
      </x:c>
      <x:c r="C57" s="13" t="str">
        <x:v>US</x:v>
      </x:c>
      <x:c r="D57" s="13"/>
      <x:c r="E57" s="13"/>
      <x:c r="F57" s="13"/>
      <x:c r="G57" s="13"/>
      <x:c r="H57" s="13" t="str">
        <x:v>Not started</x:v>
      </x:c>
      <x:c r="I57" s="13" t="str">
        <x:v>Blocked - verification required</x:v>
      </x:c>
      <x:c r="J57" s="13" t="str">
        <x:v>Verify the current relevant offices and office-holders before creating a likeness record.</x:v>
      </x:c>
    </x:row>
  </x:sheetData>
  <x:mergeCells>
    <x:mergeCell ref="A1:J1"/>
    <x:mergeCell ref="A2:J3"/>
  </x:mergeCells>
  <x:conditionalFormatting sqref="H6:H57">
    <x:cfRule type="expression" dxfId="6" priority="1">
      <x:formula>H6="Approved"</x:formula>
    </x:cfRule>
    <x:cfRule type="expression" dxfId="7" priority="2">
      <x:formula>H6="Blocked"</x:formula>
    </x:cfRule>
  </x:conditionalFormatting>
  <x:dataValidations count="1">
    <x:dataValidation type="list" sqref="H6:H57">
      <x:formula1>"Not started,In progress,Review,Approved,Blocked"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612d9fef684d2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30" hidden="0" customWidth="1"/>
    <x:col min="4" max="4" width="17" hidden="0" customWidth="1"/>
    <x:col min="5" max="5" width="17" hidden="0" customWidth="1"/>
    <x:col min="6" max="6" width="9" hidden="0" customWidth="1"/>
    <x:col min="7" max="7" width="18" hidden="0" customWidth="1"/>
    <x:col min="8" max="8" width="40" hidden="0" customWidth="1"/>
    <x:col min="9" max="9" width="15" hidden="0" customWidth="1"/>
  </x:cols>
  <x:sheetData>
    <x:row r="1" ht="30" customHeight="1">
      <x:c r="A1" s="3" t="str">
        <x:v>SUMMIT SHOWDOWN  /  EFFORT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8" t="str">
        <x:v>Planning estimate for the two-leader public slice: not a quote, market rate or delivery promise. Changing asset scope inputs does not automatically re-estimate these work packages.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5" ht="34" customHeight="1">
      <x:c r="A5" s="19" t="str">
        <x:v>Work ID</x:v>
      </x:c>
      <x:c r="B5" s="19" t="str">
        <x:v>Work package</x:v>
      </x:c>
      <x:c r="C5" s="19" t="str">
        <x:v>Role</x:v>
      </x:c>
      <x:c r="D5" s="19" t="str">
        <x:v>Low person-days</x:v>
      </x:c>
      <x:c r="E5" s="19" t="str">
        <x:v>High person-days</x:v>
      </x:c>
      <x:c r="F5" s="19" t="str">
        <x:v>Gate</x:v>
      </x:c>
      <x:c r="G5" s="19" t="str">
        <x:v>Status</x:v>
      </x:c>
      <x:c r="H5" s="19" t="str">
        <x:v>Estimate basis</x:v>
      </x:c>
      <x:c r="I5" s="19" t="str">
        <x:v>Midpoint</x:v>
      </x:c>
    </x:row>
    <x:row r="6" ht="70" customHeight="1">
      <x:c r="A6" s="13" t="str">
        <x:v>WP01</x:v>
      </x:c>
      <x:c r="B6" s="13" t="str">
        <x:v>Combat prototype and headless simulator</x:v>
      </x:c>
      <x:c r="C6" s="13" t="str">
        <x:v>Gameplay engineer</x:v>
      </x:c>
      <x:c r="D6" s="13" t="n">
        <x:v>12</x:v>
      </x:c>
      <x:c r="E6" s="13" t="n">
        <x:v>20</x:v>
      </x:c>
      <x:c r="F6" s="13" t="str">
        <x:v>G1</x:v>
      </x:c>
      <x:c r="G6" s="13" t="str">
        <x:v>Not started</x:v>
      </x:c>
      <x:c r="H6" s="13" t="str">
        <x:v>Author planning assumption; not a supplier quote or delivery commitment.</x:v>
      </x:c>
      <x:c r="I6" s="36" t="n">
        <x:f>AVERAGE(D6:E6)</x:f>
        <x:v>16</x:v>
      </x:c>
    </x:row>
    <x:row r="7" ht="70" customHeight="1">
      <x:c r="A7" s="13" t="str">
        <x:v>WP02</x:v>
      </x:c>
      <x:c r="B7" s="13" t="str">
        <x:v>Laya adapter, data, evaluation and serving</x:v>
      </x:c>
      <x:c r="C7" s="13" t="str">
        <x:v>ML engineer</x:v>
      </x:c>
      <x:c r="D7" s="13" t="n">
        <x:v>12</x:v>
      </x:c>
      <x:c r="E7" s="13" t="n">
        <x:v>22</x:v>
      </x:c>
      <x:c r="F7" s="13" t="str">
        <x:v>G2</x:v>
      </x:c>
      <x:c r="G7" s="13" t="str">
        <x:v>Not started</x:v>
      </x:c>
      <x:c r="H7" s="13" t="str">
        <x:v>Author planning assumption; not a supplier quote or delivery commitment.</x:v>
      </x:c>
      <x:c r="I7" s="36" t="n">
        <x:f>AVERAGE(D7:E7)</x:f>
        <x:v>17</x:v>
      </x:c>
    </x:row>
    <x:row r="8" ht="70" customHeight="1">
      <x:c r="A8" s="13" t="str">
        <x:v>WP03</x:v>
      </x:c>
      <x:c r="B8" s="13" t="str">
        <x:v>Web shell, selection, HUD and accessibility</x:v>
      </x:c>
      <x:c r="C8" s="13" t="str">
        <x:v>Frontend engineer</x:v>
      </x:c>
      <x:c r="D8" s="13" t="n">
        <x:v>8</x:v>
      </x:c>
      <x:c r="E8" s="13" t="n">
        <x:v>14</x:v>
      </x:c>
      <x:c r="F8" s="13" t="str">
        <x:v>G3</x:v>
      </x:c>
      <x:c r="G8" s="13" t="str">
        <x:v>Not started</x:v>
      </x:c>
      <x:c r="H8" s="13" t="str">
        <x:v>Author planning assumption; not a supplier quote or delivery commitment.</x:v>
      </x:c>
      <x:c r="I8" s="36" t="n">
        <x:f>AVERAGE(D8:E8)</x:f>
        <x:v>11</x:v>
      </x:c>
    </x:row>
    <x:row r="9" ht="70" customHeight="1">
      <x:c r="A9" s="13" t="str">
        <x:v>WP04</x:v>
      </x:c>
      <x:c r="B9" s="13" t="str">
        <x:v>Canonical rig and shared animation polish</x:v>
      </x:c>
      <x:c r="C9" s="13" t="str">
        <x:v>Technical animator</x:v>
      </x:c>
      <x:c r="D9" s="13" t="n">
        <x:v>12</x:v>
      </x:c>
      <x:c r="E9" s="13" t="n">
        <x:v>22</x:v>
      </x:c>
      <x:c r="F9" s="13" t="str">
        <x:v>G3</x:v>
      </x:c>
      <x:c r="G9" s="13" t="str">
        <x:v>Not started</x:v>
      </x:c>
      <x:c r="H9" s="13" t="str">
        <x:v>Author planning assumption; not a supplier quote or delivery commitment.</x:v>
      </x:c>
      <x:c r="I9" s="36" t="n">
        <x:f>AVERAGE(D9:E9)</x:f>
        <x:v>17</x:v>
      </x:c>
    </x:row>
    <x:row r="10" ht="70" customHeight="1">
      <x:c r="A10" s="13" t="str">
        <x:v>WP05</x:v>
      </x:c>
      <x:c r="B10" s="13" t="str">
        <x:v>Two leader likeness packs</x:v>
      </x:c>
      <x:c r="C10" s="13" t="str">
        <x:v>Character artist</x:v>
      </x:c>
      <x:c r="D10" s="13" t="n">
        <x:v>16</x:v>
      </x:c>
      <x:c r="E10" s="13" t="n">
        <x:v>30</x:v>
      </x:c>
      <x:c r="F10" s="13" t="str">
        <x:v>G3</x:v>
      </x:c>
      <x:c r="G10" s="13" t="str">
        <x:v>Not started</x:v>
      </x:c>
      <x:c r="H10" s="13" t="str">
        <x:v>Author planning assumption; not a supplier quote or delivery commitment.</x:v>
      </x:c>
      <x:c r="I10" s="36" t="n">
        <x:f>AVERAGE(D10:E10)</x:f>
        <x:v>23</x:v>
      </x:c>
    </x:row>
    <x:row r="11" ht="70" customHeight="1">
      <x:c r="A11" s="13" t="str">
        <x:v>WP06</x:v>
      </x:c>
      <x:c r="B11" s="13" t="str">
        <x:v>Summit arena and WebGL lighting</x:v>
      </x:c>
      <x:c r="C11" s="13" t="str">
        <x:v>Environment/graphics artist</x:v>
      </x:c>
      <x:c r="D11" s="13" t="n">
        <x:v>8</x:v>
      </x:c>
      <x:c r="E11" s="13" t="n">
        <x:v>15</x:v>
      </x:c>
      <x:c r="F11" s="13" t="str">
        <x:v>G3</x:v>
      </x:c>
      <x:c r="G11" s="13" t="str">
        <x:v>Not started</x:v>
      </x:c>
      <x:c r="H11" s="13" t="str">
        <x:v>Author planning assumption; not a supplier quote or delivery commitment.</x:v>
      </x:c>
      <x:c r="I11" s="36" t="n">
        <x:f>AVERAGE(D11:E11)</x:f>
        <x:v>11.5</x:v>
      </x:c>
    </x:row>
    <x:row r="12" ht="70" customHeight="1">
      <x:c r="A12" s="13" t="str">
        <x:v>WP07</x:v>
      </x:c>
      <x:c r="B12" s="13" t="str">
        <x:v>Audio, VFX and camera treatment</x:v>
      </x:c>
      <x:c r="C12" s="13" t="str">
        <x:v>Technical/sound artist</x:v>
      </x:c>
      <x:c r="D12" s="13" t="n">
        <x:v>6</x:v>
      </x:c>
      <x:c r="E12" s="13" t="n">
        <x:v>12</x:v>
      </x:c>
      <x:c r="F12" s="13" t="str">
        <x:v>G4</x:v>
      </x:c>
      <x:c r="G12" s="13" t="str">
        <x:v>Not started</x:v>
      </x:c>
      <x:c r="H12" s="13" t="str">
        <x:v>Author planning assumption; not a supplier quote or delivery commitment.</x:v>
      </x:c>
      <x:c r="I12" s="36" t="n">
        <x:f>AVERAGE(D12:E12)</x:f>
        <x:v>9</x:v>
      </x:c>
    </x:row>
    <x:row r="13" ht="70" customHeight="1">
      <x:c r="A13" s="13" t="str">
        <x:v>WP08</x:v>
      </x:c>
      <x:c r="B13" s="13" t="str">
        <x:v>Replay, capture and AI Cam</x:v>
      </x:c>
      <x:c r="C13" s="13" t="str">
        <x:v>Gameplay/frontend engineer</x:v>
      </x:c>
      <x:c r="D13" s="13" t="n">
        <x:v>8</x:v>
      </x:c>
      <x:c r="E13" s="13" t="n">
        <x:v>14</x:v>
      </x:c>
      <x:c r="F13" s="13" t="str">
        <x:v>G4</x:v>
      </x:c>
      <x:c r="G13" s="13" t="str">
        <x:v>Not started</x:v>
      </x:c>
      <x:c r="H13" s="13" t="str">
        <x:v>Author planning assumption; not a supplier quote or delivery commitment.</x:v>
      </x:c>
      <x:c r="I13" s="36" t="n">
        <x:f>AVERAGE(D13:E13)</x:f>
        <x:v>11</x:v>
      </x:c>
    </x:row>
    <x:row r="14" ht="70" customHeight="1">
      <x:c r="A14" s="13" t="str">
        <x:v>WP09</x:v>
      </x:c>
      <x:c r="B14" s="13" t="str">
        <x:v>Performance, security and cross-browser QA</x:v>
      </x:c>
      <x:c r="C14" s="13" t="str">
        <x:v>QA + engineering</x:v>
      </x:c>
      <x:c r="D14" s="13" t="n">
        <x:v>10</x:v>
      </x:c>
      <x:c r="E14" s="13" t="n">
        <x:v>18</x:v>
      </x:c>
      <x:c r="F14" s="13" t="str">
        <x:v>G5</x:v>
      </x:c>
      <x:c r="G14" s="13" t="str">
        <x:v>Not started</x:v>
      </x:c>
      <x:c r="H14" s="13" t="str">
        <x:v>Author planning assumption; not a supplier quote or delivery commitment.</x:v>
      </x:c>
      <x:c r="I14" s="36" t="n">
        <x:f>AVERAGE(D14:E14)</x:f>
        <x:v>14</x:v>
      </x:c>
    </x:row>
    <x:row r="15" ht="70" customHeight="1">
      <x:c r="A15" s="13" t="str">
        <x:v>WP10</x:v>
      </x:c>
      <x:c r="B15" s="13" t="str">
        <x:v>Release editorial, rights review and video</x:v>
      </x:c>
      <x:c r="C15" s="13" t="str">
        <x:v>Producer + specialist counsel</x:v>
      </x:c>
      <x:c r="D15" s="13" t="n">
        <x:v>4</x:v>
      </x:c>
      <x:c r="E15" s="13" t="n">
        <x:v>8</x:v>
      </x:c>
      <x:c r="F15" s="13" t="str">
        <x:v>G5</x:v>
      </x:c>
      <x:c r="G15" s="13" t="str">
        <x:v>Not started</x:v>
      </x:c>
      <x:c r="H15" s="13" t="str">
        <x:v>Author planning assumption; not a supplier quote or delivery commitment.</x:v>
      </x:c>
      <x:c r="I15" s="36" t="n">
        <x:f>AVERAGE(D15:E15)</x:f>
        <x:v>6</x:v>
      </x:c>
    </x:row>
  </x:sheetData>
  <x:mergeCells>
    <x:mergeCell ref="A1:I1"/>
    <x:mergeCell ref="A2:I3"/>
  </x:mergeCells>
  <x:conditionalFormatting sqref="G6:G15">
    <x:cfRule type="expression" dxfId="8" priority="1">
      <x:formula>G6="Approved"</x:formula>
    </x:cfRule>
    <x:cfRule type="expression" dxfId="9" priority="2">
      <x:formula>G6="Blocked"</x:formula>
    </x:cfRule>
  </x:conditionalFormatting>
  <x:dataValidations count="1">
    <x:dataValidation type="list" sqref="G6:G15">
      <x:formula1>"Not started,In progress,Review,Approved,Blocked"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f6e8227dc14c7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9" hidden="0" customWidth="1"/>
    <x:col min="3" max="3" width="40" hidden="0" customWidth="1"/>
    <x:col min="4" max="4" width="40" hidden="0" customWidth="1"/>
    <x:col min="5" max="5" width="16" hidden="0" customWidth="1"/>
  </x:cols>
  <x:sheetData>
    <x:row r="1" ht="30" customHeight="1">
      <x:c r="A1" s="3" t="str">
        <x:v>SUMMIT SHOWDOWN  /  SOURCES</x:v>
      </x:c>
      <x:c r="B1" s="3"/>
      <x:c r="C1" s="3"/>
      <x:c r="D1" s="3"/>
      <x:c r="E1" s="3"/>
    </x:row>
    <x:row r="2">
      <x:c r="A2" s="8" t="str">
        <x:v>Original primary sources behind specific technical/licensing facts. All gameplay, art budgets and effort numbers are proposed design values, not vendor measurements.</x:v>
      </x:c>
      <x:c r="B2" s="8"/>
      <x:c r="C2" s="8"/>
      <x:c r="D2" s="8"/>
      <x:c r="E2" s="8"/>
    </x:row>
    <x:row r="3">
      <x:c r="A3" s="8"/>
      <x:c r="B3" s="8"/>
      <x:c r="C3" s="8"/>
      <x:c r="D3" s="8"/>
      <x:c r="E3" s="8"/>
    </x:row>
    <x:row r="5" ht="34" customHeight="1">
      <x:c r="A5" s="19" t="str">
        <x:v>Source ID</x:v>
      </x:c>
      <x:c r="B5" s="19" t="str">
        <x:v>Publisher / resource</x:v>
      </x:c>
      <x:c r="C5" s="19" t="str">
        <x:v>What it supports</x:v>
      </x:c>
      <x:c r="D5" s="19" t="str">
        <x:v>URL</x:v>
      </x:c>
      <x:c r="E5" s="19" t="str">
        <x:v>Checked</x:v>
      </x:c>
    </x:row>
    <x:row r="6" ht="76" customHeight="1">
      <x:c r="A6" s="13" t="str">
        <x:v>S01</x:v>
      </x:c>
      <x:c r="B6" s="13" t="str">
        <x:v>Laya repository / README</x:v>
      </x:c>
      <x:c r="C6" s="13" t="str">
        <x:v>typed decision interface, published checkpoint descriptions and direct SDK entry point.</x:v>
      </x:c>
      <x:c r="D6" s="13" t="str">
        <x:v>https://github.com/NandhaKishorM/laya</x:v>
      </x:c>
      <x:c r="E6" s="13" t="str">
        <x:v>2026-09-21</x:v>
      </x:c>
    </x:row>
    <x:row r="7" ht="76" customHeight="1">
      <x:c r="A7" s="13" t="str">
        <x:v>S02</x:v>
      </x:c>
      <x:c r="B7" s="13" t="str">
        <x:v>Laya benchmark report</x:v>
      </x:c>
      <x:c r="C7" s="13" t="str">
        <x:v>author-reported T4 timing, batching conditions and evaluation limitations.</x:v>
      </x:c>
      <x:c r="D7" s="13" t="str">
        <x:v>https://raw.githubusercontent.com/NandhaKishorM/laya/main/BENCHMARKS.md</x:v>
      </x:c>
      <x:c r="E7" s="13" t="str">
        <x:v>2026-09-21</x:v>
      </x:c>
    </x:row>
    <x:row r="8" ht="76" customHeight="1">
      <x:c r="A8" s="13" t="str">
        <x:v>S03</x:v>
      </x:c>
      <x:c r="B8" s="13" t="str">
        <x:v>Laya model card</x:v>
      </x:c>
      <x:c r="C8" s="13" t="str">
        <x:v>specialisation, calibration caveats and model metadata.</x:v>
      </x:c>
      <x:c r="D8" s="13" t="str">
        <x:v>https://huggingface.co/convaiinnovations/laya</x:v>
      </x:c>
      <x:c r="E8" s="13" t="str">
        <x:v>2026-09-21</x:v>
      </x:c>
    </x:row>
    <x:row r="9" ht="76" customHeight="1">
      <x:c r="A9" s="13" t="str">
        <x:v>S04</x:v>
      </x:c>
      <x:c r="B9" s="13" t="str">
        <x:v>Three.js WebGLRenderer</x:v>
      </x:c>
      <x:c r="C9" s="13" t="str">
        <x:v>WebGL 2 renderer reference.</x:v>
      </x:c>
      <x:c r="D9" s="13" t="str">
        <x:v>https://threejs.org/docs/pages/WebGLRenderer.html</x:v>
      </x:c>
      <x:c r="E9" s="13" t="str">
        <x:v>2026-09-21</x:v>
      </x:c>
    </x:row>
    <x:row r="10" ht="76" customHeight="1">
      <x:c r="A10" s="13" t="str">
        <x:v>S05</x:v>
      </x:c>
      <x:c r="B10" s="13" t="str">
        <x:v>Three.js GLTFLoader</x:v>
      </x:c>
      <x:c r="C10" s="13" t="str">
        <x:v>glTF loading and supported compression/extension integration.</x:v>
      </x:c>
      <x:c r="D10" s="13" t="str">
        <x:v>https://threejs.org/docs/pages/GLTFLoader.html</x:v>
      </x:c>
      <x:c r="E10" s="13" t="str">
        <x:v>2026-09-21</x:v>
      </x:c>
    </x:row>
    <x:row r="11" ht="76" customHeight="1">
      <x:c r="A11" s="13" t="str">
        <x:v>S06</x:v>
      </x:c>
      <x:c r="B11" s="13" t="str">
        <x:v>Khronos glTF 2.0 specification</x:v>
      </x:c>
      <x:c r="C11" s="13" t="str">
        <x:v>coordinates, units, materials, skinning, morphs and animations.</x:v>
      </x:c>
      <x:c r="D11" s="13" t="str">
        <x:v>https://registry.khronos.org/glTF/specs/2.0/glTF-2.0.html</x:v>
      </x:c>
      <x:c r="E11" s="13" t="str">
        <x:v>2026-09-21</x:v>
      </x:c>
    </x:row>
    <x:row r="12" ht="76" customHeight="1">
      <x:c r="A12" s="13" t="str">
        <x:v>S07</x:v>
      </x:c>
      <x:c r="B12" s="13" t="str">
        <x:v>Three.js KTX2Loader</x:v>
      </x:c>
      <x:c r="C12" s="13" t="str">
        <x:v>Basis/KTX2 texture loading and device transcoding.</x:v>
      </x:c>
      <x:c r="D12" s="13" t="str">
        <x:v>https://threejs.org/docs/pages/KTX2Loader.html</x:v>
      </x:c>
      <x:c r="E12" s="13" t="str">
        <x:v>2026-09-21</x:v>
      </x:c>
    </x:row>
    <x:row r="13" ht="76" customHeight="1">
      <x:c r="A13" s="13" t="str">
        <x:v>S08</x:v>
      </x:c>
      <x:c r="B13" s="13" t="str">
        <x:v>MDN WebGL best practices</x:v>
      </x:c>
      <x:c r="C13" s="13" t="str">
        <x:v>memory estimation, draw-call/resource practices and graceful adaptation.</x:v>
      </x:c>
      <x:c r="D13" s="13" t="str">
        <x:v>https://developer.mozilla.org/en-US/docs/Web/API/WebGL_API/WebGL_best_practices</x:v>
      </x:c>
      <x:c r="E13" s="13" t="str">
        <x:v>2026-09-21</x:v>
      </x:c>
    </x:row>
    <x:row r="14" ht="76" customHeight="1">
      <x:c r="A14" s="13" t="str">
        <x:v>S09</x:v>
      </x:c>
      <x:c r="B14" s="13" t="str">
        <x:v>MetaHuman licensing</x:v>
      </x:c>
      <x:c r="C14" s="13" t="str">
        <x:v>cross-engine use and applicable licence conditions.</x:v>
      </x:c>
      <x:c r="D14" s="13" t="str">
        <x:v>https://www.metahuman.com/license</x:v>
      </x:c>
      <x:c r="E14" s="13" t="str">
        <x:v>2026-09-21</x:v>
      </x:c>
    </x:row>
    <x:row r="15" ht="76" customHeight="1">
      <x:c r="A15" s="13" t="str">
        <x:v>S10</x:v>
      </x:c>
      <x:c r="B15" s="13" t="str">
        <x:v>Adobe Mixamo FAQ</x:v>
      </x:c>
      <x:c r="C15" s="13" t="str">
        <x:v>permitted project uses and service conditions.</x:v>
      </x:c>
      <x:c r="D15" s="13" t="str">
        <x:v>https://helpx.adobe.com/uk/creative-cloud/faq/mixamo-faq.html</x:v>
      </x:c>
      <x:c r="E15" s="13" t="str">
        <x:v>2026-09-21</x:v>
      </x:c>
    </x:row>
    <x:row r="16" ht="76" customHeight="1">
      <x:c r="A16" s="13" t="str">
        <x:v>S11</x:v>
      </x:c>
      <x:c r="B16" s="13" t="str">
        <x:v>MDN canvas captureStream</x:v>
      </x:c>
      <x:c r="C16" s="13" t="str">
        <x:v>canvas capture behaviour and origin-clean restriction.</x:v>
      </x:c>
      <x:c r="D16" s="13" t="str">
        <x:v>https://developer.mozilla.org/en-US/docs/Web/API/HTMLCanvasElement/captureStream</x:v>
      </x:c>
      <x:c r="E16" s="13" t="str">
        <x:v>2026-09-21</x:v>
      </x:c>
    </x:row>
    <x:row r="17" ht="76" customHeight="1">
      <x:c r="A17" s="13" t="str">
        <x:v>S12</x:v>
      </x:c>
      <x:c r="B17" s="13" t="str">
        <x:v>MDN MediaRecorder.isTypeSupported</x:v>
      </x:c>
      <x:c r="C17" s="13" t="str">
        <x:v>runtime recording-format capability detection.</x:v>
      </x:c>
      <x:c r="D17" s="13" t="str">
        <x:v>https://developer.mozilla.org/en-US/docs/Web/API/MediaRecorder/isTypeSupported_static</x:v>
      </x:c>
      <x:c r="E17" s="13" t="str">
        <x:v>2026-09-21</x:v>
      </x:c>
    </x:row>
    <x:row r="18" ht="76" customHeight="1">
      <x:c r="A18" s="13" t="str">
        <x:v>S13</x:v>
      </x:c>
      <x:c r="B18" s="13" t="str">
        <x:v>W3C WCAG 2.2</x:v>
      </x:c>
      <x:c r="C18" s="13" t="str">
        <x:v>accessibility target and relevant interaction/presentation requirements.</x:v>
      </x:c>
      <x:c r="D18" s="13" t="str">
        <x:v>https://www.w3.org/TR/WCAG22/</x:v>
      </x:c>
      <x:c r="E18" s="13" t="str">
        <x:v>2026-09-21</x:v>
      </x:c>
    </x:row>
    <x:row r="19" ht="76" customHeight="1">
      <x:c r="A19" s="13" t="str">
        <x:v>S14</x:v>
      </x:c>
      <x:c r="B19" s="13" t="str">
        <x:v>UK Intellectual Property Office</x:v>
      </x:c>
      <x:c r="C19" s="13" t="str">
        <x:v>fair-dealing limitations for parody, caricature and pastiche.</x:v>
      </x:c>
      <x:c r="D19" s="13" t="str">
        <x:v>https://www.gov.uk/guidance/exceptions-to-copyright</x:v>
      </x:c>
      <x:c r="E19" s="13" t="str">
        <x:v>2026-09-21</x:v>
      </x:c>
    </x:row>
    <x:row r="20" ht="76" customHeight="1">
      <x:c r="A20" s="13" t="str">
        <x:v>S15</x:v>
      </x:c>
      <x:c r="B20" s="13" t="str">
        <x:v>Khronos glTF overview</x:v>
      </x:c>
      <x:c r="C20" s="13" t="str">
        <x:v>runtime asset-delivery ecosystem and validation resources.</x:v>
      </x:c>
      <x:c r="D20" s="13" t="str">
        <x:v>https://www.khronos.org/gltf/</x:v>
      </x:c>
      <x:c r="E20" s="13" t="str">
        <x:v>2026-09-21</x:v>
      </x:c>
    </x:row>
    <x:row r="21" ht="76" customHeight="1">
      <x:c r="A21" s="13" t="str">
        <x:v>S16</x:v>
      </x:c>
      <x:c r="B21" s="13" t="str">
        <x:v>MetaHuman Creator documentation</x:v>
      </x:c>
      <x:c r="C21" s="13" t="str">
        <x:v>digital-human authoring workflow and tool-specific assets.</x:v>
      </x:c>
      <x:c r="D21" s="13" t="str">
        <x:v>https://dev.epicgames.com/documentation/metahuman/metahuman-creator-in-unreal-engine</x:v>
      </x:c>
      <x:c r="E21" s="13" t="str">
        <x:v>2026-09-21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58b6646c812d496c"/>
  </x:tableParts>
</x:worksheet>
</file>